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26b0e873a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8fc09c482e4148"/>
    <x:sheet xmlns:r="http://schemas.openxmlformats.org/officeDocument/2006/relationships" name="Sales Ledger" sheetId="2" r:id="R7ded489bb2434217"/>
    <x:sheet xmlns:r="http://schemas.openxmlformats.org/officeDocument/2006/relationships" name="Expense Ledger" sheetId="3" r:id="R8f40cd00810d440d"/>
    <x:sheet xmlns:r="http://schemas.openxmlformats.org/officeDocument/2006/relationships" name="Monthly Summary" sheetId="4" r:id="R11ea75eac7a04d5e"/>
    <x:sheet xmlns:r="http://schemas.openxmlformats.org/officeDocument/2006/relationships" name="Monthly Checklist" sheetId="5" r:id="Rcddd5a803cdb44a5"/>
    <x:sheet xmlns:r="http://schemas.openxmlformats.org/officeDocument/2006/relationships" name="Code List" sheetId="6" r:id="R21dbf9a452c4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color rgb="FF76530A"/>
      <x:name val="Carlito"/>
    </x:font>
    <x:font>
      <x:b/>
      <x:sz val="11"/>
      <x:color rgb="FF0B4968"/>
      <x:name val="Carlito"/>
    </x:font>
    <x:font>
      <x:b/>
      <x:sz val="14"/>
      <x:color rgb="FF0B49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968"/>
      </x:patternFill>
    </x:fill>
    <x:fill>
      <x:patternFill patternType="solid">
        <x:fgColor rgb="FF061321"/>
      </x:patternFill>
    </x:fill>
    <x:fill>
      <x:patternFill patternType="solid">
        <x:fgColor rgb="FFFFF5D9"/>
      </x:patternFill>
    </x:fill>
    <x:fill>
      <x:patternFill patternType="solid">
        <x:fgColor rgb="FFEAF4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 applyAlignment="1">
      <x:alignment horizontal="center"/>
    </x:xf>
    <x:xf numFmtId="201" fontId="5" fillId="6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1E7B3A"/>
      </x:font>
      <x:fill>
        <x:patternFill patternType="solid">
          <x:bgColor rgb="FFDFF4E4"/>
        </x:patternFill>
      </x:fill>
    </x:dxf>
    <x:dxf>
      <x:font>
        <x:color rgb="FFB43333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72d1557c04085" /><Relationship Type="http://schemas.openxmlformats.org/officeDocument/2006/relationships/theme" Target="/xl/theme/theme1.xml" Id="R56c25573b9b94f4c" /><Relationship Type="http://schemas.openxmlformats.org/officeDocument/2006/relationships/sharedStrings" Target="/xl/sharedStrings.xml" Id="Rcd84713b21e14da1" /><Relationship Type="http://schemas.openxmlformats.org/officeDocument/2006/relationships/worksheet" Target="/xl/worksheets/sheet1.xml" Id="Rf08fc09c482e4148" /><Relationship Type="http://schemas.openxmlformats.org/officeDocument/2006/relationships/worksheet" Target="/xl/worksheets/sheet2.xml" Id="R7ded489bb2434217" /><Relationship Type="http://schemas.openxmlformats.org/officeDocument/2006/relationships/worksheet" Target="/xl/worksheets/sheet3.xml" Id="R8f40cd00810d440d" /><Relationship Type="http://schemas.openxmlformats.org/officeDocument/2006/relationships/worksheet" Target="/xl/worksheets/sheet4.xml" Id="R11ea75eac7a04d5e" /><Relationship Type="http://schemas.openxmlformats.org/officeDocument/2006/relationships/worksheet" Target="/xl/worksheets/sheet5.xml" Id="Rcddd5a803cdb44a5" /><Relationship Type="http://schemas.openxmlformats.org/officeDocument/2006/relationships/worksheet" Target="/xl/worksheets/sheet6.xml" Id="R21dbf9a452c4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>
      <x:c r="A1" s="47" t="str">
        <x:v>M.O.T. 세무·정산 운영 대시보드</x:v>
      </x:c>
      <x:c r="B1" s="47"/>
      <x:c r="C1" s="47"/>
      <x:c r="D1" s="47"/>
      <x:c r="E1" s="47"/>
      <x:c r="F1" s="47"/>
      <x:c r="G1" s="47"/>
      <x:c r="H1" s="47"/>
    </x:row>
    <x:row r="2">
      <x:c r="A2" s="29" t="str">
        <x:v>※ 세무신고 자체를 대신하는 파일이 아닙니다. 거래별 증빙·정산자료를 모아 세무전문가에게 전달하기 위한 월간 관리대장입니다. 해외 용역·플랫폼 매출의 세무처리는 발행 전 확인하십시오.</x:v>
      </x:c>
      <x:c r="B2" s="29"/>
      <x:c r="C2" s="29"/>
      <x:c r="D2" s="29"/>
      <x:c r="E2" s="29"/>
      <x:c r="F2" s="29"/>
      <x:c r="G2" s="29"/>
      <x:c r="H2" s="29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48" t="str">
        <x:v>2026 누적 원화매출</x:v>
      </x:c>
      <x:c r="B4" s="48"/>
      <x:c r="C4" s="48" t="str">
        <x:v>2026 누적 플랫폼·PG 수수료</x:v>
      </x:c>
      <x:c r="D4" s="48"/>
      <x:c r="E4" s="48" t="str">
        <x:v>2026 누적 원화비용</x:v>
      </x:c>
      <x:c r="F4" s="48"/>
      <x:c r="G4" s="48" t="str">
        <x:v>2026 세전 현금흐름</x:v>
      </x:c>
      <x:c r="H4" s="48"/>
    </x:row>
    <x:row r="5">
      <x:c r="A5" s="49" t="n">
        <x:f>SUM('Monthly Summary'!B2:B13)</x:f>
        <x:v>3879000</x:v>
      </x:c>
      <x:c r="B5" s="49"/>
      <x:c r="C5" s="49" t="n">
        <x:f>SUM('Monthly Summary'!D2:D13)</x:f>
        <x:v>0</x:v>
      </x:c>
      <x:c r="D5" s="49"/>
      <x:c r="E5" s="49" t="n">
        <x:f>SUM('Monthly Summary'!E2:E13)</x:f>
        <x:v>0</x:v>
      </x:c>
      <x:c r="F5" s="49"/>
      <x:c r="G5" s="49" t="n">
        <x:f>SUM('Monthly Summary'!G2:G13)</x:f>
        <x:v>3879000</x:v>
      </x:c>
      <x:c r="H5" s="49"/>
    </x:row>
    <x:row r="6">
      <x:c r="A6" s="11"/>
      <x:c r="B6" s="11"/>
      <x:c r="C6" s="11"/>
      <x:c r="D6" s="11"/>
      <x:c r="E6" s="11"/>
      <x:c r="F6" s="11"/>
      <x:c r="G6" s="11"/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8">
      <x:c r="A8" s="48" t="str">
        <x:v>월간 요약 (Monthly Summary 시트에서 자동 집계)</x:v>
      </x:c>
      <x:c r="B8" s="48"/>
      <x:c r="C8" s="48"/>
      <x:c r="D8" s="48"/>
      <x:c r="E8" s="48"/>
      <x:c r="F8" s="48"/>
      <x:c r="G8" s="48"/>
      <x:c r="H8" s="48"/>
    </x:row>
    <x:row r="9">
      <x:c r="A9" s="10" t="str">
        <x:v>월</x:v>
      </x:c>
      <x:c r="B9" s="10" t="str">
        <x:v>원화매출</x:v>
      </x:c>
      <x:c r="C9" s="10" t="str">
        <x:v>VAT</x:v>
      </x:c>
      <x:c r="D9" s="10" t="str">
        <x:v>플랫폼·PG수수료</x:v>
      </x:c>
      <x:c r="E9" s="10" t="str">
        <x:v>원화비용</x:v>
      </x:c>
      <x:c r="F9" s="10" t="str">
        <x:v>공제가능 VAT</x:v>
      </x:c>
      <x:c r="G9" s="10" t="str">
        <x:v>세전 현금흐름</x:v>
      </x:c>
      <x:c r="H9" s="10" t="str">
        <x:v>증빙 점검</x:v>
      </x:c>
    </x:row>
    <x:row r="10">
      <x:c r="A10" s="11" t="str">
        <x:v>2026-01</x:v>
      </x:c>
      <x:c r="B10" s="17" t="n">
        <x:f>SUMIF('Sales Ledger'!$B$2:$B$200,A10,'Sales Ledger'!$J$2:$J$200)</x:f>
        <x:v>0</x:v>
      </x:c>
      <x:c r="C10" s="17" t="n">
        <x:f>SUMIF('Sales Ledger'!$B$2:$B$200,A10,'Sales Ledger'!$L$2:$L$200)</x:f>
        <x:v>0</x:v>
      </x:c>
      <x:c r="D10" s="17" t="n">
        <x:f>SUMIF('Sales Ledger'!$B$2:$B$200,A10,'Sales Ledger'!$S$2:$S$200)</x:f>
        <x:v>0</x:v>
      </x:c>
      <x:c r="E10" s="17" t="n">
        <x:f>SUMIF('Expense Ledger'!$B$2:$B$200,A10,'Expense Ledger'!$I$2:$I$200)</x:f>
        <x:v>0</x:v>
      </x:c>
      <x:c r="F10" s="17" t="n">
        <x:f>SUMIF('Expense Ledger'!$B$2:$B$200,A10,'Expense Ledger'!$J$2:$J$200)</x:f>
        <x:v>0</x:v>
      </x:c>
      <x:c r="G10" s="17" t="n">
        <x:f>B10-D10-E10</x:f>
        <x:v>0</x:v>
      </x:c>
      <x:c r="H10" s="11" t="str">
        <x:f>IF(AND(B10=0,E10=0),"",IF(COUNTIF('Sales Ledger'!$B$2:$B$200,A10)=COUNTIFS('Sales Ledger'!$B$2:$B$200,A10,'Sales Ledger'!$Q$2:$Q$200,"PAID"),"매출 증빙 확인","미수/증빙 확인"))</x:f>
      </x:c>
    </x:row>
    <x:row r="11">
      <x:c r="A11" s="11" t="str">
        <x:v>2026-02</x:v>
      </x:c>
      <x:c r="B11" s="17" t="n">
        <x:f>SUMIF('Sales Ledger'!$B$2:$B$200,A11,'Sales Ledger'!$J$2:$J$200)</x:f>
        <x:v>0</x:v>
      </x:c>
      <x:c r="C11" s="17" t="n">
        <x:f>SUMIF('Sales Ledger'!$B$2:$B$200,A11,'Sales Ledger'!$L$2:$L$200)</x:f>
        <x:v>0</x:v>
      </x:c>
      <x:c r="D11" s="17" t="n">
        <x:f>SUMIF('Sales Ledger'!$B$2:$B$200,A11,'Sales Ledger'!$S$2:$S$200)</x:f>
        <x:v>0</x:v>
      </x:c>
      <x:c r="E11" s="17" t="n">
        <x:f>SUMIF('Expense Ledger'!$B$2:$B$200,A11,'Expense Ledger'!$I$2:$I$200)</x:f>
        <x:v>0</x:v>
      </x:c>
      <x:c r="F11" s="17" t="n">
        <x:f>SUMIF('Expense Ledger'!$B$2:$B$200,A11,'Expense Ledger'!$J$2:$J$200)</x:f>
        <x:v>0</x:v>
      </x:c>
      <x:c r="G11" s="17" t="n">
        <x:f>B11-D11-E11</x:f>
        <x:v>0</x:v>
      </x:c>
      <x:c r="H11" s="11" t="str">
        <x:f>IF(AND(B11=0,E11=0),"",IF(COUNTIF('Sales Ledger'!$B$2:$B$200,A11)=COUNTIFS('Sales Ledger'!$B$2:$B$200,A11,'Sales Ledger'!$Q$2:$Q$200,"PAID"),"매출 증빙 확인","미수/증빙 확인"))</x:f>
      </x:c>
    </x:row>
    <x:row r="12">
      <x:c r="A12" s="11" t="str">
        <x:v>2026-03</x:v>
      </x:c>
      <x:c r="B12" s="17" t="n">
        <x:f>SUMIF('Sales Ledger'!$B$2:$B$200,A12,'Sales Ledger'!$J$2:$J$200)</x:f>
        <x:v>0</x:v>
      </x:c>
      <x:c r="C12" s="17" t="n">
        <x:f>SUMIF('Sales Ledger'!$B$2:$B$200,A12,'Sales Ledger'!$L$2:$L$200)</x:f>
        <x:v>0</x:v>
      </x:c>
      <x:c r="D12" s="17" t="n">
        <x:f>SUMIF('Sales Ledger'!$B$2:$B$200,A12,'Sales Ledger'!$S$2:$S$200)</x:f>
        <x:v>0</x:v>
      </x:c>
      <x:c r="E12" s="17" t="n">
        <x:f>SUMIF('Expense Ledger'!$B$2:$B$200,A12,'Expense Ledger'!$I$2:$I$200)</x:f>
        <x:v>0</x:v>
      </x:c>
      <x:c r="F12" s="17" t="n">
        <x:f>SUMIF('Expense Ledger'!$B$2:$B$200,A12,'Expense Ledger'!$J$2:$J$200)</x:f>
        <x:v>0</x:v>
      </x:c>
      <x:c r="G12" s="17" t="n">
        <x:f>B12-D12-E12</x:f>
        <x:v>0</x:v>
      </x:c>
      <x:c r="H12" s="11" t="str">
        <x:f>IF(AND(B12=0,E12=0),"",IF(COUNTIF('Sales Ledger'!$B$2:$B$200,A12)=COUNTIFS('Sales Ledger'!$B$2:$B$200,A12,'Sales Ledger'!$Q$2:$Q$200,"PAID"),"매출 증빙 확인","미수/증빙 확인"))</x:f>
      </x:c>
    </x:row>
    <x:row r="13">
      <x:c r="A13" s="11" t="str">
        <x:v>2026-04</x:v>
      </x:c>
      <x:c r="B13" s="17" t="n">
        <x:f>SUMIF('Sales Ledger'!$B$2:$B$200,A13,'Sales Ledger'!$J$2:$J$200)</x:f>
        <x:v>0</x:v>
      </x:c>
      <x:c r="C13" s="17" t="n">
        <x:f>SUMIF('Sales Ledger'!$B$2:$B$200,A13,'Sales Ledger'!$L$2:$L$200)</x:f>
        <x:v>0</x:v>
      </x:c>
      <x:c r="D13" s="17" t="n">
        <x:f>SUMIF('Sales Ledger'!$B$2:$B$200,A13,'Sales Ledger'!$S$2:$S$200)</x:f>
        <x:v>0</x:v>
      </x:c>
      <x:c r="E13" s="17" t="n">
        <x:f>SUMIF('Expense Ledger'!$B$2:$B$200,A13,'Expense Ledger'!$I$2:$I$200)</x:f>
        <x:v>0</x:v>
      </x:c>
      <x:c r="F13" s="17" t="n">
        <x:f>SUMIF('Expense Ledger'!$B$2:$B$200,A13,'Expense Ledger'!$J$2:$J$200)</x:f>
        <x:v>0</x:v>
      </x:c>
      <x:c r="G13" s="17" t="n">
        <x:f>B13-D13-E13</x:f>
        <x:v>0</x:v>
      </x:c>
      <x:c r="H13" s="11" t="str">
        <x:f>IF(AND(B13=0,E13=0),"",IF(COUNTIF('Sales Ledger'!$B$2:$B$200,A13)=COUNTIFS('Sales Ledger'!$B$2:$B$200,A13,'Sales Ledger'!$Q$2:$Q$200,"PAID"),"매출 증빙 확인","미수/증빙 확인"))</x:f>
      </x:c>
    </x:row>
    <x:row r="14">
      <x:c r="A14" s="11" t="str">
        <x:v>2026-05</x:v>
      </x:c>
      <x:c r="B14" s="17" t="n">
        <x:f>SUMIF('Sales Ledger'!$B$2:$B$200,A14,'Sales Ledger'!$J$2:$J$200)</x:f>
        <x:v>0</x:v>
      </x:c>
      <x:c r="C14" s="17" t="n">
        <x:f>SUMIF('Sales Ledger'!$B$2:$B$200,A14,'Sales Ledger'!$L$2:$L$200)</x:f>
        <x:v>0</x:v>
      </x:c>
      <x:c r="D14" s="17" t="n">
        <x:f>SUMIF('Sales Ledger'!$B$2:$B$200,A14,'Sales Ledger'!$S$2:$S$200)</x:f>
        <x:v>0</x:v>
      </x:c>
      <x:c r="E14" s="17" t="n">
        <x:f>SUMIF('Expense Ledger'!$B$2:$B$200,A14,'Expense Ledger'!$I$2:$I$200)</x:f>
        <x:v>0</x:v>
      </x:c>
      <x:c r="F14" s="17" t="n">
        <x:f>SUMIF('Expense Ledger'!$B$2:$B$200,A14,'Expense Ledger'!$J$2:$J$200)</x:f>
        <x:v>0</x:v>
      </x:c>
      <x:c r="G14" s="17" t="n">
        <x:f>B14-D14-E14</x:f>
        <x:v>0</x:v>
      </x:c>
      <x:c r="H14" s="11" t="str">
        <x:f>IF(AND(B14=0,E14=0),"",IF(COUNTIF('Sales Ledger'!$B$2:$B$200,A14)=COUNTIFS('Sales Ledger'!$B$2:$B$200,A14,'Sales Ledger'!$Q$2:$Q$200,"PAID"),"매출 증빙 확인","미수/증빙 확인"))</x:f>
      </x:c>
    </x:row>
    <x:row r="15">
      <x:c r="A15" s="11" t="str">
        <x:v>2026-06</x:v>
      </x:c>
      <x:c r="B15" s="17" t="n">
        <x:f>SUMIF('Sales Ledger'!$B$2:$B$200,A15,'Sales Ledger'!$J$2:$J$200)</x:f>
        <x:v>0</x:v>
      </x:c>
      <x:c r="C15" s="17" t="n">
        <x:f>SUMIF('Sales Ledger'!$B$2:$B$200,A15,'Sales Ledger'!$L$2:$L$200)</x:f>
        <x:v>0</x:v>
      </x:c>
      <x:c r="D15" s="17" t="n">
        <x:f>SUMIF('Sales Ledger'!$B$2:$B$200,A15,'Sales Ledger'!$S$2:$S$200)</x:f>
        <x:v>0</x:v>
      </x:c>
      <x:c r="E15" s="17" t="n">
        <x:f>SUMIF('Expense Ledger'!$B$2:$B$200,A15,'Expense Ledger'!$I$2:$I$200)</x:f>
        <x:v>0</x:v>
      </x:c>
      <x:c r="F15" s="17" t="n">
        <x:f>SUMIF('Expense Ledger'!$B$2:$B$200,A15,'Expense Ledger'!$J$2:$J$200)</x:f>
        <x:v>0</x:v>
      </x:c>
      <x:c r="G15" s="17" t="n">
        <x:f>B15-D15-E15</x:f>
        <x:v>0</x:v>
      </x:c>
      <x:c r="H15" s="11" t="str">
        <x:f>IF(AND(B15=0,E15=0),"",IF(COUNTIF('Sales Ledger'!$B$2:$B$200,A15)=COUNTIFS('Sales Ledger'!$B$2:$B$200,A15,'Sales Ledger'!$Q$2:$Q$200,"PAID"),"매출 증빙 확인","미수/증빙 확인"))</x:f>
      </x:c>
    </x:row>
    <x:row r="16">
      <x:c r="A16" s="11" t="str">
        <x:v>2026-07</x:v>
      </x:c>
      <x:c r="B16" s="17" t="n">
        <x:f>SUMIF('Sales Ledger'!$B$2:$B$200,A16,'Sales Ledger'!$J$2:$J$200)</x:f>
        <x:v>3879000</x:v>
      </x:c>
      <x:c r="C16" s="17" t="n">
        <x:f>SUMIF('Sales Ledger'!$B$2:$B$200,A16,'Sales Ledger'!$L$2:$L$200)</x:f>
        <x:v>387900</x:v>
      </x:c>
      <x:c r="D16" s="17" t="n">
        <x:f>SUMIF('Sales Ledger'!$B$2:$B$200,A16,'Sales Ledger'!$S$2:$S$200)</x:f>
        <x:v>0</x:v>
      </x:c>
      <x:c r="E16" s="17" t="n">
        <x:f>SUMIF('Expense Ledger'!$B$2:$B$200,A16,'Expense Ledger'!$I$2:$I$200)</x:f>
        <x:v>0</x:v>
      </x:c>
      <x:c r="F16" s="17" t="n">
        <x:f>SUMIF('Expense Ledger'!$B$2:$B$200,A16,'Expense Ledger'!$J$2:$J$200)</x:f>
        <x:v>0</x:v>
      </x:c>
      <x:c r="G16" s="17" t="n">
        <x:f>B16-D16-E16</x:f>
        <x:v>3879000</x:v>
      </x:c>
      <x:c r="H16" s="11" t="str">
        <x:f>IF(AND(B16=0,E16=0),"",IF(COUNTIF('Sales Ledger'!$B$2:$B$200,A16)=COUNTIFS('Sales Ledger'!$B$2:$B$200,A16,'Sales Ledger'!$Q$2:$Q$200,"PAID"),"매출 증빙 확인","미수/증빙 확인"))</x:f>
        <x:v>미수/증빙 확인</x:v>
      </x:c>
    </x:row>
    <x:row r="17">
      <x:c r="A17" s="11" t="str">
        <x:v>2026-08</x:v>
      </x:c>
      <x:c r="B17" s="17" t="n">
        <x:f>SUMIF('Sales Ledger'!$B$2:$B$200,A17,'Sales Ledger'!$J$2:$J$200)</x:f>
        <x:v>0</x:v>
      </x:c>
      <x:c r="C17" s="17" t="n">
        <x:f>SUMIF('Sales Ledger'!$B$2:$B$200,A17,'Sales Ledger'!$L$2:$L$200)</x:f>
        <x:v>0</x:v>
      </x:c>
      <x:c r="D17" s="17" t="n">
        <x:f>SUMIF('Sales Ledger'!$B$2:$B$200,A17,'Sales Ledger'!$S$2:$S$200)</x:f>
        <x:v>0</x:v>
      </x:c>
      <x:c r="E17" s="17" t="n">
        <x:f>SUMIF('Expense Ledger'!$B$2:$B$200,A17,'Expense Ledger'!$I$2:$I$200)</x:f>
        <x:v>0</x:v>
      </x:c>
      <x:c r="F17" s="17" t="n">
        <x:f>SUMIF('Expense Ledger'!$B$2:$B$200,A17,'Expense Ledger'!$J$2:$J$200)</x:f>
        <x:v>0</x:v>
      </x:c>
      <x:c r="G17" s="17" t="n">
        <x:f>B17-D17-E17</x:f>
        <x:v>0</x:v>
      </x:c>
      <x:c r="H17" s="11" t="str">
        <x:f>IF(AND(B17=0,E17=0),"",IF(COUNTIF('Sales Ledger'!$B$2:$B$200,A17)=COUNTIFS('Sales Ledger'!$B$2:$B$200,A17,'Sales Ledger'!$Q$2:$Q$200,"PAID"),"매출 증빙 확인","미수/증빙 확인"))</x:f>
      </x:c>
    </x:row>
    <x:row r="18">
      <x:c r="A18" s="11" t="str">
        <x:v>2026-09</x:v>
      </x:c>
      <x:c r="B18" s="17" t="n">
        <x:f>SUMIF('Sales Ledger'!$B$2:$B$200,A18,'Sales Ledger'!$J$2:$J$200)</x:f>
        <x:v>0</x:v>
      </x:c>
      <x:c r="C18" s="17" t="n">
        <x:f>SUMIF('Sales Ledger'!$B$2:$B$200,A18,'Sales Ledger'!$L$2:$L$200)</x:f>
        <x:v>0</x:v>
      </x:c>
      <x:c r="D18" s="17" t="n">
        <x:f>SUMIF('Sales Ledger'!$B$2:$B$200,A18,'Sales Ledger'!$S$2:$S$200)</x:f>
        <x:v>0</x:v>
      </x:c>
      <x:c r="E18" s="17" t="n">
        <x:f>SUMIF('Expense Ledger'!$B$2:$B$200,A18,'Expense Ledger'!$I$2:$I$200)</x:f>
        <x:v>0</x:v>
      </x:c>
      <x:c r="F18" s="17" t="n">
        <x:f>SUMIF('Expense Ledger'!$B$2:$B$200,A18,'Expense Ledger'!$J$2:$J$200)</x:f>
        <x:v>0</x:v>
      </x:c>
      <x:c r="G18" s="17" t="n">
        <x:f>B18-D18-E18</x:f>
        <x:v>0</x:v>
      </x:c>
      <x:c r="H18" s="11" t="str">
        <x:f>IF(AND(B18=0,E18=0),"",IF(COUNTIF('Sales Ledger'!$B$2:$B$200,A18)=COUNTIFS('Sales Ledger'!$B$2:$B$200,A18,'Sales Ledger'!$Q$2:$Q$200,"PAID"),"매출 증빙 확인","미수/증빙 확인"))</x:f>
      </x:c>
    </x:row>
    <x:row r="19">
      <x:c r="A19" s="11" t="str">
        <x:v>2026-10</x:v>
      </x:c>
      <x:c r="B19" s="17" t="n">
        <x:f>SUMIF('Sales Ledger'!$B$2:$B$200,A19,'Sales Ledger'!$J$2:$J$200)</x:f>
        <x:v>0</x:v>
      </x:c>
      <x:c r="C19" s="17" t="n">
        <x:f>SUMIF('Sales Ledger'!$B$2:$B$200,A19,'Sales Ledger'!$L$2:$L$200)</x:f>
        <x:v>0</x:v>
      </x:c>
      <x:c r="D19" s="17" t="n">
        <x:f>SUMIF('Sales Ledger'!$B$2:$B$200,A19,'Sales Ledger'!$S$2:$S$200)</x:f>
        <x:v>0</x:v>
      </x:c>
      <x:c r="E19" s="17" t="n">
        <x:f>SUMIF('Expense Ledger'!$B$2:$B$200,A19,'Expense Ledger'!$I$2:$I$200)</x:f>
        <x:v>0</x:v>
      </x:c>
      <x:c r="F19" s="17" t="n">
        <x:f>SUMIF('Expense Ledger'!$B$2:$B$200,A19,'Expense Ledger'!$J$2:$J$200)</x:f>
        <x:v>0</x:v>
      </x:c>
      <x:c r="G19" s="17" t="n">
        <x:f>B19-D19-E19</x:f>
        <x:v>0</x:v>
      </x:c>
      <x:c r="H19" s="11" t="str">
        <x:f>IF(AND(B19=0,E19=0),"",IF(COUNTIF('Sales Ledger'!$B$2:$B$200,A19)=COUNTIFS('Sales Ledger'!$B$2:$B$200,A19,'Sales Ledger'!$Q$2:$Q$200,"PAID"),"매출 증빙 확인","미수/증빙 확인"))</x:f>
      </x:c>
    </x:row>
    <x:row r="20">
      <x:c r="A20" s="11" t="str">
        <x:v>2026-11</x:v>
      </x:c>
      <x:c r="B20" s="17" t="n">
        <x:f>SUMIF('Sales Ledger'!$B$2:$B$200,A20,'Sales Ledger'!$J$2:$J$200)</x:f>
        <x:v>0</x:v>
      </x:c>
      <x:c r="C20" s="17" t="n">
        <x:f>SUMIF('Sales Ledger'!$B$2:$B$200,A20,'Sales Ledger'!$L$2:$L$200)</x:f>
        <x:v>0</x:v>
      </x:c>
      <x:c r="D20" s="17" t="n">
        <x:f>SUMIF('Sales Ledger'!$B$2:$B$200,A20,'Sales Ledger'!$S$2:$S$200)</x:f>
        <x:v>0</x:v>
      </x:c>
      <x:c r="E20" s="17" t="n">
        <x:f>SUMIF('Expense Ledger'!$B$2:$B$200,A20,'Expense Ledger'!$I$2:$I$200)</x:f>
        <x:v>0</x:v>
      </x:c>
      <x:c r="F20" s="17" t="n">
        <x:f>SUMIF('Expense Ledger'!$B$2:$B$200,A20,'Expense Ledger'!$J$2:$J$200)</x:f>
        <x:v>0</x:v>
      </x:c>
      <x:c r="G20" s="17" t="n">
        <x:f>B20-D20-E20</x:f>
        <x:v>0</x:v>
      </x:c>
      <x:c r="H20" s="11" t="str">
        <x:f>IF(AND(B20=0,E20=0),"",IF(COUNTIF('Sales Ledger'!$B$2:$B$200,A20)=COUNTIFS('Sales Ledger'!$B$2:$B$200,A20,'Sales Ledger'!$Q$2:$Q$200,"PAID"),"매출 증빙 확인","미수/증빙 확인"))</x:f>
      </x:c>
    </x:row>
    <x:row r="21">
      <x:c r="A21" s="11" t="str">
        <x:v>2026-12</x:v>
      </x:c>
      <x:c r="B21" s="17" t="n">
        <x:f>SUMIF('Sales Ledger'!$B$2:$B$200,A21,'Sales Ledger'!$J$2:$J$200)</x:f>
        <x:v>0</x:v>
      </x:c>
      <x:c r="C21" s="17" t="n">
        <x:f>SUMIF('Sales Ledger'!$B$2:$B$200,A21,'Sales Ledger'!$L$2:$L$200)</x:f>
        <x:v>0</x:v>
      </x:c>
      <x:c r="D21" s="17" t="n">
        <x:f>SUMIF('Sales Ledger'!$B$2:$B$200,A21,'Sales Ledger'!$S$2:$S$200)</x:f>
        <x:v>0</x:v>
      </x:c>
      <x:c r="E21" s="17" t="n">
        <x:f>SUMIF('Expense Ledger'!$B$2:$B$200,A21,'Expense Ledger'!$I$2:$I$200)</x:f>
        <x:v>0</x:v>
      </x:c>
      <x:c r="F21" s="17" t="n">
        <x:f>SUMIF('Expense Ledger'!$B$2:$B$200,A21,'Expense Ledger'!$J$2:$J$200)</x:f>
        <x:v>0</x:v>
      </x:c>
      <x:c r="G21" s="17" t="n">
        <x:f>B21-D21-E21</x:f>
        <x:v>0</x:v>
      </x:c>
      <x:c r="H21" s="11" t="str">
        <x:f>IF(AND(B21=0,E21=0),"",IF(COUNTIF('Sales Ledger'!$B$2:$B$200,A21)=COUNTIFS('Sales Ledger'!$B$2:$B$200,A21,'Sales Ledger'!$Q$2:$Q$200,"PAID"),"매출 증빙 확인","미수/증빙 확인"))</x:f>
      </x:c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0" t="str">
        <x:v>월말 30분 정산 절차</x:v>
      </x:c>
      <x:c r="B24" s="10"/>
      <x:c r="C24" s="10"/>
      <x:c r="D24" s="10"/>
      <x:c r="E24" s="10"/>
      <x:c r="F24" s="10"/>
      <x:c r="G24" s="10"/>
      <x:c r="H24" s="10"/>
    </x:row>
    <x:row r="25">
      <x:c r="A25" s="48" t="str">
        <x:v>1</x:v>
      </x:c>
      <x:c r="B25" s="11" t="str">
        <x:v>Sales Ledger에 모든 B2B 청구·입금·PDF/영상/구독 플랫폼 매출을 기록합니다.</x:v>
      </x:c>
      <x:c r="C25" s="11"/>
      <x:c r="D25" s="11"/>
      <x:c r="E25" s="11"/>
      <x:c r="F25" s="11"/>
      <x:c r="G25" s="11"/>
      <x:c r="H25" s="11"/>
    </x:row>
    <x:row r="26">
      <x:c r="A26" s="48" t="str">
        <x:v>2</x:v>
      </x:c>
      <x:c r="B26" s="11" t="str">
        <x:v>플랫폼 수수료, 환불, 외부시험, 출장, 사업용 카드 지출을 Expense Ledger에 기록합니다.</x:v>
      </x:c>
      <x:c r="C26" s="11"/>
      <x:c r="D26" s="11"/>
      <x:c r="E26" s="11"/>
      <x:c r="F26" s="11"/>
      <x:c r="G26" s="11"/>
      <x:c r="H26" s="11"/>
    </x:row>
    <x:row r="27">
      <x:c r="A27" s="48" t="str">
        <x:v>3</x:v>
      </x:c>
      <x:c r="B27" s="11" t="str">
        <x:v>각 행에 세금계산서·주문번호·정산명세·인보이스 등 증빙번호를 입력하고 PDF 파일을 월별 폴더에 보관합니다.</x:v>
      </x:c>
      <x:c r="C27" s="11"/>
      <x:c r="D27" s="11"/>
      <x:c r="E27" s="11"/>
      <x:c r="F27" s="11"/>
      <x:c r="G27" s="11"/>
      <x:c r="H27" s="11"/>
    </x:row>
    <x:row r="28">
      <x:c r="A28" s="48" t="str">
        <x:v>4</x:v>
      </x:c>
      <x:c r="B28" s="11" t="str">
        <x:v>Monthly Summary의 매출·VAT·비용·미수 상태를 확인합니다.</x:v>
      </x:c>
      <x:c r="C28" s="11"/>
      <x:c r="D28" s="11"/>
      <x:c r="E28" s="11"/>
      <x:c r="F28" s="11"/>
      <x:c r="G28" s="11"/>
      <x:c r="H28" s="11"/>
    </x:row>
    <x:row r="29">
      <x:c r="A29" s="48" t="str">
        <x:v>5</x:v>
      </x:c>
      <x:c r="B29" s="11" t="str">
        <x:v>세무대리인에게 매출/비용 원장, 정산명세, 해외 인보이스·입금증빙, 계약서를 전달합니다.</x:v>
      </x:c>
      <x:c r="C29" s="11"/>
      <x:c r="D29" s="11"/>
      <x:c r="E29" s="11"/>
      <x:c r="F29" s="11"/>
      <x:c r="G29" s="11"/>
      <x:c r="H29" s="11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8:H8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9" hidden="0" customWidth="1"/>
    <x:col min="5" max="5" width="17" hidden="0" customWidth="1"/>
    <x:col min="6" max="6" width="24" hidden="0" customWidth="1"/>
    <x:col min="7" max="7" width="9" hidden="0" customWidth="1"/>
    <x:col min="8" max="8" width="15" hidden="0" customWidth="1"/>
    <x:col min="9" max="9" width="10" hidden="0" customWidth="1"/>
    <x:col min="10" max="10" width="14" hidden="0" customWidth="1"/>
    <x:col min="11" max="11" width="16" hidden="0" customWidth="1"/>
    <x:col min="12" max="12" width="12" hidden="0" customWidth="1"/>
    <x:col min="13" max="13" width="15" hidden="0" customWidth="1"/>
    <x:col min="14" max="14" width="18" hidden="0" customWidth="1"/>
    <x:col min="15" max="15" width="13" hidden="0" customWidth="1"/>
    <x:col min="16" max="16" width="13" hidden="0" customWidth="1"/>
    <x:col min="17" max="17" width="11" hidden="0" customWidth="1"/>
    <x:col min="18" max="18" width="18" hidden="0" customWidth="1"/>
    <x:col min="19" max="19" width="12" hidden="0" customWidth="1"/>
    <x:col min="20" max="20" width="14" hidden="0" customWidth="1"/>
    <x:col min="21" max="21" width="25" hidden="0" customWidth="1"/>
  </x:cols>
  <x:sheetData>
    <x:row r="1">
      <x:c r="A1" s="5" t="str">
        <x:v>거래일</x:v>
      </x:c>
      <x:c r="B1" s="5" t="str">
        <x:v>월</x:v>
      </x:c>
      <x:c r="C1" s="5" t="str">
        <x:v>거래처/구매자</x:v>
      </x:c>
      <x:c r="D1" s="5" t="str">
        <x:v>국가</x:v>
      </x:c>
      <x:c r="E1" s="5" t="str">
        <x:v>매출유형</x:v>
      </x:c>
      <x:c r="F1" s="5" t="str">
        <x:v>상품·프로젝트</x:v>
      </x:c>
      <x:c r="G1" s="5" t="str">
        <x:v>통화</x:v>
      </x:c>
      <x:c r="H1" s="5" t="str">
        <x:v>공급가액(현지)</x:v>
      </x:c>
      <x:c r="I1" s="5" t="str">
        <x:v>환율</x:v>
      </x:c>
      <x:c r="J1" s="5" t="str">
        <x:v>원화매출</x:v>
      </x:c>
      <x:c r="K1" s="5" t="str">
        <x:v>세금상태</x:v>
      </x:c>
      <x:c r="L1" s="5" t="str">
        <x:v>VAT</x:v>
      </x:c>
      <x:c r="M1" s="5" t="str">
        <x:v>총 청구금액</x:v>
      </x:c>
      <x:c r="N1" s="5" t="str">
        <x:v>결제수단/플랫폼</x:v>
      </x:c>
      <x:c r="O1" s="5" t="str">
        <x:v>정산예정일</x:v>
      </x:c>
      <x:c r="P1" s="5" t="str">
        <x:v>입금일</x:v>
      </x:c>
      <x:c r="Q1" s="5" t="str">
        <x:v>상태</x:v>
      </x:c>
      <x:c r="R1" s="5" t="str">
        <x:v>증빙번호</x:v>
      </x:c>
      <x:c r="S1" s="5" t="str">
        <x:v>수수료</x:v>
      </x:c>
      <x:c r="T1" s="5" t="str">
        <x:v>순입금</x:v>
      </x:c>
      <x:c r="U1" s="5" t="str">
        <x:v>비고</x:v>
      </x:c>
    </x:row>
    <x:row r="2">
      <x:c r="A2" s="15" t="n">
        <x:v>46204</x:v>
      </x:c>
      <x:c r="B2" s="11" t="str">
        <x:f>IF(A2="","",TEXT(A2,"yyyy-mm"))</x:f>
        <x:v>2026-07</x:v>
      </x:c>
      <x:c r="C2" s="11" t="str">
        <x:v>{{ 고객사 또는 구매자 }}</x:v>
      </x:c>
      <x:c r="D2" s="11" t="str">
        <x:v>KR</x:v>
      </x:c>
      <x:c r="E2" s="11" t="str">
        <x:v>B2B_SERVICE</x:v>
      </x:c>
      <x:c r="F2" s="11" t="str">
        <x:v>기술진단 프로젝트</x:v>
      </x:c>
      <x:c r="G2" s="11" t="str">
        <x:v>KRW</x:v>
      </x:c>
      <x:c r="H2" s="17" t="n">
        <x:v>3800000</x:v>
      </x:c>
      <x:c r="I2" s="17" t="n">
        <x:v>1</x:v>
      </x:c>
      <x:c r="J2" s="17" t="n">
        <x:f>IF(H2="","",H2*I2)</x:f>
        <x:v>3800000</x:v>
      </x:c>
      <x:c r="K2" s="11" t="str">
        <x:v>VAT_APPLICABLE</x:v>
      </x:c>
      <x:c r="L2" s="17" t="n">
        <x:f>IF(OR(J2="",K2&lt;&gt;"VAT_APPLICABLE"),0,J2*0.1)</x:f>
        <x:v>380000</x:v>
      </x:c>
      <x:c r="M2" s="17" t="n">
        <x:f>IF(J2="","",J2+L2)</x:f>
        <x:v>4180000</x:v>
      </x:c>
      <x:c r="N2" s="11" t="str">
        <x:v>계좌이체</x:v>
      </x:c>
      <x:c r="O2" s="15" t="n">
        <x:v>46208</x:v>
      </x:c>
      <x:c r="P2" s="15"/>
      <x:c r="Q2" s="11" t="str">
        <x:v>PENDING</x:v>
      </x:c>
      <x:c r="R2" s="11" t="str">
        <x:v>{{ 세금계산서/청구번호 }}</x:v>
      </x:c>
      <x:c r="S2" s="17" t="n">
        <x:v>0</x:v>
      </x:c>
      <x:c r="T2" s="17" t="n">
        <x:f>IF(J2="","",J2-S2)</x:f>
        <x:v>3800000</x:v>
      </x:c>
      <x:c r="U2" s="11" t="str"/>
    </x:row>
    <x:row r="3">
      <x:c r="A3" s="15" t="n">
        <x:v>46208</x:v>
      </x:c>
      <x:c r="B3" s="11" t="str">
        <x:f>IF(A3="","",TEXT(A3,"yyyy-mm"))</x:f>
        <x:v>2026-07</x:v>
      </x:c>
      <x:c r="C3" s="11" t="str">
        <x:v>{{ 구매자 }}</x:v>
      </x:c>
      <x:c r="D3" s="11" t="str">
        <x:v>KR</x:v>
      </x:c>
      <x:c r="E3" s="11" t="str">
        <x:v>DIGITAL_PDF</x:v>
      </x:c>
      <x:c r="F3" s="11" t="str">
        <x:v>기술서적 단권</x:v>
      </x:c>
      <x:c r="G3" s="11" t="str">
        <x:v>KRW</x:v>
      </x:c>
      <x:c r="H3" s="17" t="n">
        <x:v>79000</x:v>
      </x:c>
      <x:c r="I3" s="17" t="n">
        <x:v>1</x:v>
      </x:c>
      <x:c r="J3" s="17" t="n">
        <x:f>IF(H3="","",H3*I3)</x:f>
        <x:v>79000</x:v>
      </x:c>
      <x:c r="K3" s="11" t="str">
        <x:v>VAT_APPLICABLE</x:v>
      </x:c>
      <x:c r="L3" s="17" t="n">
        <x:f>IF(OR(J3="",K3&lt;&gt;"VAT_APPLICABLE"),0,J3*0.1)</x:f>
        <x:v>7900</x:v>
      </x:c>
      <x:c r="M3" s="17" t="n">
        <x:f>IF(J3="","",J3+L3)</x:f>
        <x:v>86900</x:v>
      </x:c>
      <x:c r="N3" s="11" t="str">
        <x:v>외부 결제플랫폼</x:v>
      </x:c>
      <x:c r="O3" s="15" t="n">
        <x:v>46208</x:v>
      </x:c>
      <x:c r="P3" s="15"/>
      <x:c r="Q3" s="11" t="str">
        <x:v>PENDING</x:v>
      </x:c>
      <x:c r="R3" s="11" t="str">
        <x:v>{{ 주문번호 }}</x:v>
      </x:c>
      <x:c r="S3" s="17" t="n">
        <x:v>0</x:v>
      </x:c>
      <x:c r="T3" s="17" t="n">
        <x:f>IF(J3="","",J3-S3)</x:f>
        <x:v>79000</x:v>
      </x:c>
      <x:c r="U3" s="11" t="str"/>
    </x:row>
    <x:row r="4">
      <x:c r="A4" s="15"/>
      <x:c r="B4" s="11" t="str">
        <x:f>IF(A4="","",TEXT(A4,"yyyy-mm"))</x:f>
      </x:c>
      <x:c r="C4" s="11" t="str"/>
      <x:c r="D4" s="11" t="str"/>
      <x:c r="E4" s="11" t="str"/>
      <x:c r="F4" s="11" t="str"/>
      <x:c r="G4" s="11" t="str"/>
      <x:c r="H4" s="17"/>
      <x:c r="I4" s="17"/>
      <x:c r="J4" s="17" t="str">
        <x:f>IF(H4="","",H4*I4)</x:f>
      </x:c>
      <x:c r="K4" s="11" t="str"/>
      <x:c r="L4" s="17" t="n">
        <x:f>IF(OR(J4="",K4&lt;&gt;"VAT_APPLICABLE"),0,J4*0.1)</x:f>
        <x:v>0</x:v>
      </x:c>
      <x:c r="M4" s="17" t="str">
        <x:f>IF(J4="","",J4+L4)</x:f>
      </x:c>
      <x:c r="N4" s="11" t="str"/>
      <x:c r="O4" s="15"/>
      <x:c r="P4" s="15"/>
      <x:c r="Q4" s="11" t="str"/>
      <x:c r="R4" s="11" t="str"/>
      <x:c r="S4" s="17" t="str"/>
      <x:c r="T4" s="17" t="str">
        <x:f>IF(J4="","",J4-S4)</x:f>
      </x:c>
      <x:c r="U4" s="11" t="str"/>
    </x:row>
    <x:row r="5">
      <x:c r="A5" s="15"/>
      <x:c r="B5" s="11" t="str">
        <x:f>IF(A5="","",TEXT(A5,"yyyy-mm"))</x:f>
      </x:c>
      <x:c r="C5" s="11" t="str"/>
      <x:c r="D5" s="11" t="str"/>
      <x:c r="E5" s="11" t="str"/>
      <x:c r="F5" s="11" t="str"/>
      <x:c r="G5" s="11" t="str"/>
      <x:c r="H5" s="17"/>
      <x:c r="I5" s="17"/>
      <x:c r="J5" s="17" t="str">
        <x:f>IF(H5="","",H5*I5)</x:f>
      </x:c>
      <x:c r="K5" s="11" t="str"/>
      <x:c r="L5" s="17" t="n">
        <x:f>IF(OR(J5="",K5&lt;&gt;"VAT_APPLICABLE"),0,J5*0.1)</x:f>
        <x:v>0</x:v>
      </x:c>
      <x:c r="M5" s="17" t="str">
        <x:f>IF(J5="","",J5+L5)</x:f>
      </x:c>
      <x:c r="N5" s="11" t="str"/>
      <x:c r="O5" s="15"/>
      <x:c r="P5" s="15"/>
      <x:c r="Q5" s="11" t="str"/>
      <x:c r="R5" s="11" t="str"/>
      <x:c r="S5" s="17" t="str"/>
      <x:c r="T5" s="17" t="str">
        <x:f>IF(J5="","",J5-S5)</x:f>
      </x:c>
      <x:c r="U5" s="11" t="str"/>
    </x:row>
    <x:row r="6">
      <x:c r="A6" s="15"/>
      <x:c r="B6" s="11" t="str">
        <x:f>IF(A6="","",TEXT(A6,"yyyy-mm"))</x:f>
      </x:c>
      <x:c r="C6" s="11" t="str"/>
      <x:c r="D6" s="11" t="str"/>
      <x:c r="E6" s="11" t="str"/>
      <x:c r="F6" s="11" t="str"/>
      <x:c r="G6" s="11" t="str"/>
      <x:c r="H6" s="17"/>
      <x:c r="I6" s="17"/>
      <x:c r="J6" s="17" t="str">
        <x:f>IF(H6="","",H6*I6)</x:f>
      </x:c>
      <x:c r="K6" s="11" t="str"/>
      <x:c r="L6" s="17" t="n">
        <x:f>IF(OR(J6="",K6&lt;&gt;"VAT_APPLICABLE"),0,J6*0.1)</x:f>
        <x:v>0</x:v>
      </x:c>
      <x:c r="M6" s="17" t="str">
        <x:f>IF(J6="","",J6+L6)</x:f>
      </x:c>
      <x:c r="N6" s="11" t="str"/>
      <x:c r="O6" s="15"/>
      <x:c r="P6" s="15"/>
      <x:c r="Q6" s="11" t="str"/>
      <x:c r="R6" s="11" t="str"/>
      <x:c r="S6" s="17" t="str"/>
      <x:c r="T6" s="17" t="str">
        <x:f>IF(J6="","",J6-S6)</x:f>
      </x:c>
      <x:c r="U6" s="11" t="str"/>
    </x:row>
    <x:row r="7">
      <x:c r="A7" s="15"/>
      <x:c r="B7" s="11" t="str">
        <x:f>IF(A7="","",TEXT(A7,"yyyy-mm"))</x:f>
      </x:c>
      <x:c r="C7" s="11"/>
      <x:c r="D7" s="11"/>
      <x:c r="E7" s="11"/>
      <x:c r="F7" s="11"/>
      <x:c r="G7" s="11"/>
      <x:c r="H7" s="17"/>
      <x:c r="I7" s="17"/>
      <x:c r="J7" s="17" t="str">
        <x:f>IF(H7="","",H7*I7)</x:f>
      </x:c>
      <x:c r="K7" s="11"/>
      <x:c r="L7" s="17" t="n">
        <x:f>IF(OR(J7="",K7&lt;&gt;"VAT_APPLICABLE"),0,J7*0.1)</x:f>
        <x:v>0</x:v>
      </x:c>
      <x:c r="M7" s="17" t="str">
        <x:f>IF(J7="","",J7+L7)</x:f>
      </x:c>
      <x:c r="N7" s="11"/>
      <x:c r="O7" s="15"/>
      <x:c r="P7" s="15"/>
      <x:c r="Q7" s="11"/>
      <x:c r="R7" s="11"/>
      <x:c r="S7" s="17"/>
      <x:c r="T7" s="17" t="str">
        <x:f>IF(J7="","",J7-S7)</x:f>
      </x:c>
      <x:c r="U7" s="11"/>
    </x:row>
    <x:row r="8">
      <x:c r="A8" s="15"/>
      <x:c r="B8" s="11" t="str">
        <x:f>IF(A8="","",TEXT(A8,"yyyy-mm"))</x:f>
      </x:c>
      <x:c r="C8" s="11"/>
      <x:c r="D8" s="11"/>
      <x:c r="E8" s="11"/>
      <x:c r="F8" s="11"/>
      <x:c r="G8" s="11"/>
      <x:c r="H8" s="17"/>
      <x:c r="I8" s="17"/>
      <x:c r="J8" s="17" t="str">
        <x:f>IF(H8="","",H8*I8)</x:f>
      </x:c>
      <x:c r="K8" s="11"/>
      <x:c r="L8" s="17" t="n">
        <x:f>IF(OR(J8="",K8&lt;&gt;"VAT_APPLICABLE"),0,J8*0.1)</x:f>
        <x:v>0</x:v>
      </x:c>
      <x:c r="M8" s="17" t="str">
        <x:f>IF(J8="","",J8+L8)</x:f>
      </x:c>
      <x:c r="N8" s="11"/>
      <x:c r="O8" s="15"/>
      <x:c r="P8" s="15"/>
      <x:c r="Q8" s="11"/>
      <x:c r="R8" s="11"/>
      <x:c r="S8" s="17"/>
      <x:c r="T8" s="17" t="str">
        <x:f>IF(J8="","",J8-S8)</x:f>
      </x:c>
      <x:c r="U8" s="11"/>
    </x:row>
    <x:row r="9">
      <x:c r="A9" s="15"/>
      <x:c r="B9" s="11" t="str">
        <x:f>IF(A9="","",TEXT(A9,"yyyy-mm"))</x:f>
      </x:c>
      <x:c r="C9" s="11"/>
      <x:c r="D9" s="11"/>
      <x:c r="E9" s="11"/>
      <x:c r="F9" s="11"/>
      <x:c r="G9" s="11"/>
      <x:c r="H9" s="17"/>
      <x:c r="I9" s="17"/>
      <x:c r="J9" s="17" t="str">
        <x:f>IF(H9="","",H9*I9)</x:f>
      </x:c>
      <x:c r="K9" s="11"/>
      <x:c r="L9" s="17" t="n">
        <x:f>IF(OR(J9="",K9&lt;&gt;"VAT_APPLICABLE"),0,J9*0.1)</x:f>
        <x:v>0</x:v>
      </x:c>
      <x:c r="M9" s="17" t="str">
        <x:f>IF(J9="","",J9+L9)</x:f>
      </x:c>
      <x:c r="N9" s="11"/>
      <x:c r="O9" s="15"/>
      <x:c r="P9" s="15"/>
      <x:c r="Q9" s="11"/>
      <x:c r="R9" s="11"/>
      <x:c r="S9" s="17"/>
      <x:c r="T9" s="17" t="str">
        <x:f>IF(J9="","",J9-S9)</x:f>
      </x:c>
      <x:c r="U9" s="11"/>
    </x:row>
    <x:row r="10">
      <x:c r="A10" s="15"/>
      <x:c r="B10" s="11" t="str">
        <x:f>IF(A10="","",TEXT(A10,"yyyy-mm"))</x:f>
      </x:c>
      <x:c r="C10" s="11"/>
      <x:c r="D10" s="11"/>
      <x:c r="E10" s="11"/>
      <x:c r="F10" s="11"/>
      <x:c r="G10" s="11"/>
      <x:c r="H10" s="17"/>
      <x:c r="I10" s="17"/>
      <x:c r="J10" s="17" t="str">
        <x:f>IF(H10="","",H10*I10)</x:f>
      </x:c>
      <x:c r="K10" s="11"/>
      <x:c r="L10" s="17" t="n">
        <x:f>IF(OR(J10="",K10&lt;&gt;"VAT_APPLICABLE"),0,J10*0.1)</x:f>
        <x:v>0</x:v>
      </x:c>
      <x:c r="M10" s="17" t="str">
        <x:f>IF(J10="","",J10+L10)</x:f>
      </x:c>
      <x:c r="N10" s="11"/>
      <x:c r="O10" s="15"/>
      <x:c r="P10" s="15"/>
      <x:c r="Q10" s="11"/>
      <x:c r="R10" s="11"/>
      <x:c r="S10" s="17"/>
      <x:c r="T10" s="17" t="str">
        <x:f>IF(J10="","",J10-S10)</x:f>
      </x:c>
      <x:c r="U10" s="11"/>
    </x:row>
    <x:row r="11">
      <x:c r="A11" s="15"/>
      <x:c r="B11" s="11" t="str">
        <x:f>IF(A11="","",TEXT(A11,"yyyy-mm"))</x:f>
      </x:c>
      <x:c r="C11" s="11"/>
      <x:c r="D11" s="11"/>
      <x:c r="E11" s="11"/>
      <x:c r="F11" s="11"/>
      <x:c r="G11" s="11"/>
      <x:c r="H11" s="17"/>
      <x:c r="I11" s="17"/>
      <x:c r="J11" s="17" t="str">
        <x:f>IF(H11="","",H11*I11)</x:f>
      </x:c>
      <x:c r="K11" s="11"/>
      <x:c r="L11" s="17" t="n">
        <x:f>IF(OR(J11="",K11&lt;&gt;"VAT_APPLICABLE"),0,J11*0.1)</x:f>
        <x:v>0</x:v>
      </x:c>
      <x:c r="M11" s="17" t="str">
        <x:f>IF(J11="","",J11+L11)</x:f>
      </x:c>
      <x:c r="N11" s="11"/>
      <x:c r="O11" s="15"/>
      <x:c r="P11" s="15"/>
      <x:c r="Q11" s="11"/>
      <x:c r="R11" s="11"/>
      <x:c r="S11" s="17"/>
      <x:c r="T11" s="17" t="str">
        <x:f>IF(J11="","",J11-S11)</x:f>
      </x:c>
      <x:c r="U11" s="11"/>
    </x:row>
    <x:row r="12">
      <x:c r="A12" s="15"/>
      <x:c r="B12" s="11" t="str">
        <x:f>IF(A12="","",TEXT(A12,"yyyy-mm"))</x:f>
      </x:c>
      <x:c r="C12" s="11"/>
      <x:c r="D12" s="11"/>
      <x:c r="E12" s="11"/>
      <x:c r="F12" s="11"/>
      <x:c r="G12" s="11"/>
      <x:c r="H12" s="17"/>
      <x:c r="I12" s="17"/>
      <x:c r="J12" s="17" t="str">
        <x:f>IF(H12="","",H12*I12)</x:f>
      </x:c>
      <x:c r="K12" s="11"/>
      <x:c r="L12" s="17" t="n">
        <x:f>IF(OR(J12="",K12&lt;&gt;"VAT_APPLICABLE"),0,J12*0.1)</x:f>
        <x:v>0</x:v>
      </x:c>
      <x:c r="M12" s="17" t="str">
        <x:f>IF(J12="","",J12+L12)</x:f>
      </x:c>
      <x:c r="N12" s="11"/>
      <x:c r="O12" s="15"/>
      <x:c r="P12" s="15"/>
      <x:c r="Q12" s="11"/>
      <x:c r="R12" s="11"/>
      <x:c r="S12" s="17"/>
      <x:c r="T12" s="17" t="str">
        <x:f>IF(J12="","",J12-S12)</x:f>
      </x:c>
      <x:c r="U12" s="11"/>
    </x:row>
    <x:row r="13">
      <x:c r="A13" s="15"/>
      <x:c r="B13" s="11" t="str">
        <x:f>IF(A13="","",TEXT(A13,"yyyy-mm"))</x:f>
      </x:c>
      <x:c r="C13" s="11"/>
      <x:c r="D13" s="11"/>
      <x:c r="E13" s="11"/>
      <x:c r="F13" s="11"/>
      <x:c r="G13" s="11"/>
      <x:c r="H13" s="17"/>
      <x:c r="I13" s="17"/>
      <x:c r="J13" s="17" t="str">
        <x:f>IF(H13="","",H13*I13)</x:f>
      </x:c>
      <x:c r="K13" s="11"/>
      <x:c r="L13" s="17" t="n">
        <x:f>IF(OR(J13="",K13&lt;&gt;"VAT_APPLICABLE"),0,J13*0.1)</x:f>
        <x:v>0</x:v>
      </x:c>
      <x:c r="M13" s="17" t="str">
        <x:f>IF(J13="","",J13+L13)</x:f>
      </x:c>
      <x:c r="N13" s="11"/>
      <x:c r="O13" s="15"/>
      <x:c r="P13" s="15"/>
      <x:c r="Q13" s="11"/>
      <x:c r="R13" s="11"/>
      <x:c r="S13" s="17"/>
      <x:c r="T13" s="17" t="str">
        <x:f>IF(J13="","",J13-S13)</x:f>
      </x:c>
      <x:c r="U13" s="11"/>
    </x:row>
    <x:row r="14">
      <x:c r="A14" s="15"/>
      <x:c r="B14" s="11" t="str">
        <x:f>IF(A14="","",TEXT(A14,"yyyy-mm"))</x:f>
      </x:c>
      <x:c r="C14" s="11"/>
      <x:c r="D14" s="11"/>
      <x:c r="E14" s="11"/>
      <x:c r="F14" s="11"/>
      <x:c r="G14" s="11"/>
      <x:c r="H14" s="17"/>
      <x:c r="I14" s="17"/>
      <x:c r="J14" s="17" t="str">
        <x:f>IF(H14="","",H14*I14)</x:f>
      </x:c>
      <x:c r="K14" s="11"/>
      <x:c r="L14" s="17" t="n">
        <x:f>IF(OR(J14="",K14&lt;&gt;"VAT_APPLICABLE"),0,J14*0.1)</x:f>
        <x:v>0</x:v>
      </x:c>
      <x:c r="M14" s="17" t="str">
        <x:f>IF(J14="","",J14+L14)</x:f>
      </x:c>
      <x:c r="N14" s="11"/>
      <x:c r="O14" s="15"/>
      <x:c r="P14" s="15"/>
      <x:c r="Q14" s="11"/>
      <x:c r="R14" s="11"/>
      <x:c r="S14" s="17"/>
      <x:c r="T14" s="17" t="str">
        <x:f>IF(J14="","",J14-S14)</x:f>
      </x:c>
      <x:c r="U14" s="11"/>
    </x:row>
    <x:row r="15">
      <x:c r="A15" s="15"/>
      <x:c r="B15" s="11" t="str">
        <x:f>IF(A15="","",TEXT(A15,"yyyy-mm"))</x:f>
      </x:c>
      <x:c r="C15" s="11"/>
      <x:c r="D15" s="11"/>
      <x:c r="E15" s="11"/>
      <x:c r="F15" s="11"/>
      <x:c r="G15" s="11"/>
      <x:c r="H15" s="17"/>
      <x:c r="I15" s="17"/>
      <x:c r="J15" s="17" t="str">
        <x:f>IF(H15="","",H15*I15)</x:f>
      </x:c>
      <x:c r="K15" s="11"/>
      <x:c r="L15" s="17" t="n">
        <x:f>IF(OR(J15="",K15&lt;&gt;"VAT_APPLICABLE"),0,J15*0.1)</x:f>
        <x:v>0</x:v>
      </x:c>
      <x:c r="M15" s="17" t="str">
        <x:f>IF(J15="","",J15+L15)</x:f>
      </x:c>
      <x:c r="N15" s="11"/>
      <x:c r="O15" s="15"/>
      <x:c r="P15" s="15"/>
      <x:c r="Q15" s="11"/>
      <x:c r="R15" s="11"/>
      <x:c r="S15" s="17"/>
      <x:c r="T15" s="17" t="str">
        <x:f>IF(J15="","",J15-S15)</x:f>
      </x:c>
      <x:c r="U15" s="11"/>
    </x:row>
    <x:row r="16">
      <x:c r="A16" s="15"/>
      <x:c r="B16" s="11" t="str">
        <x:f>IF(A16="","",TEXT(A16,"yyyy-mm"))</x:f>
      </x:c>
      <x:c r="C16" s="11"/>
      <x:c r="D16" s="11"/>
      <x:c r="E16" s="11"/>
      <x:c r="F16" s="11"/>
      <x:c r="G16" s="11"/>
      <x:c r="H16" s="17"/>
      <x:c r="I16" s="17"/>
      <x:c r="J16" s="17" t="str">
        <x:f>IF(H16="","",H16*I16)</x:f>
      </x:c>
      <x:c r="K16" s="11"/>
      <x:c r="L16" s="17" t="n">
        <x:f>IF(OR(J16="",K16&lt;&gt;"VAT_APPLICABLE"),0,J16*0.1)</x:f>
        <x:v>0</x:v>
      </x:c>
      <x:c r="M16" s="17" t="str">
        <x:f>IF(J16="","",J16+L16)</x:f>
      </x:c>
      <x:c r="N16" s="11"/>
      <x:c r="O16" s="15"/>
      <x:c r="P16" s="15"/>
      <x:c r="Q16" s="11"/>
      <x:c r="R16" s="11"/>
      <x:c r="S16" s="17"/>
      <x:c r="T16" s="17" t="str">
        <x:f>IF(J16="","",J16-S16)</x:f>
      </x:c>
      <x:c r="U16" s="11"/>
    </x:row>
    <x:row r="17">
      <x:c r="A17" s="15"/>
      <x:c r="B17" s="11" t="str">
        <x:f>IF(A17="","",TEXT(A17,"yyyy-mm"))</x:f>
      </x:c>
      <x:c r="C17" s="11"/>
      <x:c r="D17" s="11"/>
      <x:c r="E17" s="11"/>
      <x:c r="F17" s="11"/>
      <x:c r="G17" s="11"/>
      <x:c r="H17" s="17"/>
      <x:c r="I17" s="17"/>
      <x:c r="J17" s="17" t="str">
        <x:f>IF(H17="","",H17*I17)</x:f>
      </x:c>
      <x:c r="K17" s="11"/>
      <x:c r="L17" s="17" t="n">
        <x:f>IF(OR(J17="",K17&lt;&gt;"VAT_APPLICABLE"),0,J17*0.1)</x:f>
        <x:v>0</x:v>
      </x:c>
      <x:c r="M17" s="17" t="str">
        <x:f>IF(J17="","",J17+L17)</x:f>
      </x:c>
      <x:c r="N17" s="11"/>
      <x:c r="O17" s="15"/>
      <x:c r="P17" s="15"/>
      <x:c r="Q17" s="11"/>
      <x:c r="R17" s="11"/>
      <x:c r="S17" s="17"/>
      <x:c r="T17" s="17" t="str">
        <x:f>IF(J17="","",J17-S17)</x:f>
      </x:c>
      <x:c r="U17" s="11"/>
    </x:row>
    <x:row r="18">
      <x:c r="A18" s="15"/>
      <x:c r="B18" s="11" t="str">
        <x:f>IF(A18="","",TEXT(A18,"yyyy-mm"))</x:f>
      </x:c>
      <x:c r="C18" s="11"/>
      <x:c r="D18" s="11"/>
      <x:c r="E18" s="11"/>
      <x:c r="F18" s="11"/>
      <x:c r="G18" s="11"/>
      <x:c r="H18" s="17"/>
      <x:c r="I18" s="17"/>
      <x:c r="J18" s="17" t="str">
        <x:f>IF(H18="","",H18*I18)</x:f>
      </x:c>
      <x:c r="K18" s="11"/>
      <x:c r="L18" s="17" t="n">
        <x:f>IF(OR(J18="",K18&lt;&gt;"VAT_APPLICABLE"),0,J18*0.1)</x:f>
        <x:v>0</x:v>
      </x:c>
      <x:c r="M18" s="17" t="str">
        <x:f>IF(J18="","",J18+L18)</x:f>
      </x:c>
      <x:c r="N18" s="11"/>
      <x:c r="O18" s="15"/>
      <x:c r="P18" s="15"/>
      <x:c r="Q18" s="11"/>
      <x:c r="R18" s="11"/>
      <x:c r="S18" s="17"/>
      <x:c r="T18" s="17" t="str">
        <x:f>IF(J18="","",J18-S18)</x:f>
      </x:c>
      <x:c r="U18" s="11"/>
    </x:row>
    <x:row r="19">
      <x:c r="A19" s="15"/>
      <x:c r="B19" s="11" t="str">
        <x:f>IF(A19="","",TEXT(A19,"yyyy-mm"))</x:f>
      </x:c>
      <x:c r="C19" s="11"/>
      <x:c r="D19" s="11"/>
      <x:c r="E19" s="11"/>
      <x:c r="F19" s="11"/>
      <x:c r="G19" s="11"/>
      <x:c r="H19" s="17"/>
      <x:c r="I19" s="17"/>
      <x:c r="J19" s="17" t="str">
        <x:f>IF(H19="","",H19*I19)</x:f>
      </x:c>
      <x:c r="K19" s="11"/>
      <x:c r="L19" s="17" t="n">
        <x:f>IF(OR(J19="",K19&lt;&gt;"VAT_APPLICABLE"),0,J19*0.1)</x:f>
        <x:v>0</x:v>
      </x:c>
      <x:c r="M19" s="17" t="str">
        <x:f>IF(J19="","",J19+L19)</x:f>
      </x:c>
      <x:c r="N19" s="11"/>
      <x:c r="O19" s="15"/>
      <x:c r="P19" s="15"/>
      <x:c r="Q19" s="11"/>
      <x:c r="R19" s="11"/>
      <x:c r="S19" s="17"/>
      <x:c r="T19" s="17" t="str">
        <x:f>IF(J19="","",J19-S19)</x:f>
      </x:c>
      <x:c r="U19" s="11"/>
    </x:row>
    <x:row r="20">
      <x:c r="A20" s="15"/>
      <x:c r="B20" s="11" t="str">
        <x:f>IF(A20="","",TEXT(A20,"yyyy-mm"))</x:f>
      </x:c>
      <x:c r="C20" s="11"/>
      <x:c r="D20" s="11"/>
      <x:c r="E20" s="11"/>
      <x:c r="F20" s="11"/>
      <x:c r="G20" s="11"/>
      <x:c r="H20" s="17"/>
      <x:c r="I20" s="17"/>
      <x:c r="J20" s="17" t="str">
        <x:f>IF(H20="","",H20*I20)</x:f>
      </x:c>
      <x:c r="K20" s="11"/>
      <x:c r="L20" s="17" t="n">
        <x:f>IF(OR(J20="",K20&lt;&gt;"VAT_APPLICABLE"),0,J20*0.1)</x:f>
        <x:v>0</x:v>
      </x:c>
      <x:c r="M20" s="17" t="str">
        <x:f>IF(J20="","",J20+L20)</x:f>
      </x:c>
      <x:c r="N20" s="11"/>
      <x:c r="O20" s="15"/>
      <x:c r="P20" s="15"/>
      <x:c r="Q20" s="11"/>
      <x:c r="R20" s="11"/>
      <x:c r="S20" s="17"/>
      <x:c r="T20" s="17" t="str">
        <x:f>IF(J20="","",J20-S20)</x:f>
      </x:c>
      <x:c r="U20" s="11"/>
    </x:row>
    <x:row r="21">
      <x:c r="A21" s="15"/>
      <x:c r="B21" s="11" t="str">
        <x:f>IF(A21="","",TEXT(A21,"yyyy-mm"))</x:f>
      </x:c>
      <x:c r="C21" s="11"/>
      <x:c r="D21" s="11"/>
      <x:c r="E21" s="11"/>
      <x:c r="F21" s="11"/>
      <x:c r="G21" s="11"/>
      <x:c r="H21" s="17"/>
      <x:c r="I21" s="17"/>
      <x:c r="J21" s="17" t="str">
        <x:f>IF(H21="","",H21*I21)</x:f>
      </x:c>
      <x:c r="K21" s="11"/>
      <x:c r="L21" s="17" t="n">
        <x:f>IF(OR(J21="",K21&lt;&gt;"VAT_APPLICABLE"),0,J21*0.1)</x:f>
        <x:v>0</x:v>
      </x:c>
      <x:c r="M21" s="17" t="str">
        <x:f>IF(J21="","",J21+L21)</x:f>
      </x:c>
      <x:c r="N21" s="11"/>
      <x:c r="O21" s="15"/>
      <x:c r="P21" s="15"/>
      <x:c r="Q21" s="11"/>
      <x:c r="R21" s="11"/>
      <x:c r="S21" s="17"/>
      <x:c r="T21" s="17" t="str">
        <x:f>IF(J21="","",J21-S21)</x:f>
      </x:c>
      <x:c r="U21" s="11"/>
    </x:row>
    <x:row r="22">
      <x:c r="A22" s="15"/>
      <x:c r="B22" s="11" t="str">
        <x:f>IF(A22="","",TEXT(A22,"yyyy-mm"))</x:f>
      </x:c>
      <x:c r="C22" s="11"/>
      <x:c r="D22" s="11"/>
      <x:c r="E22" s="11"/>
      <x:c r="F22" s="11"/>
      <x:c r="G22" s="11"/>
      <x:c r="H22" s="17"/>
      <x:c r="I22" s="17"/>
      <x:c r="J22" s="17" t="str">
        <x:f>IF(H22="","",H22*I22)</x:f>
      </x:c>
      <x:c r="K22" s="11"/>
      <x:c r="L22" s="17" t="n">
        <x:f>IF(OR(J22="",K22&lt;&gt;"VAT_APPLICABLE"),0,J22*0.1)</x:f>
        <x:v>0</x:v>
      </x:c>
      <x:c r="M22" s="17" t="str">
        <x:f>IF(J22="","",J22+L22)</x:f>
      </x:c>
      <x:c r="N22" s="11"/>
      <x:c r="O22" s="15"/>
      <x:c r="P22" s="15"/>
      <x:c r="Q22" s="11"/>
      <x:c r="R22" s="11"/>
      <x:c r="S22" s="17"/>
      <x:c r="T22" s="17" t="str">
        <x:f>IF(J22="","",J22-S22)</x:f>
      </x:c>
      <x:c r="U22" s="11"/>
    </x:row>
    <x:row r="23">
      <x:c r="A23" s="15"/>
      <x:c r="B23" s="11" t="str">
        <x:f>IF(A23="","",TEXT(A23,"yyyy-mm"))</x:f>
      </x:c>
      <x:c r="C23" s="11"/>
      <x:c r="D23" s="11"/>
      <x:c r="E23" s="11"/>
      <x:c r="F23" s="11"/>
      <x:c r="G23" s="11"/>
      <x:c r="H23" s="17"/>
      <x:c r="I23" s="17"/>
      <x:c r="J23" s="17" t="str">
        <x:f>IF(H23="","",H23*I23)</x:f>
      </x:c>
      <x:c r="K23" s="11"/>
      <x:c r="L23" s="17" t="n">
        <x:f>IF(OR(J23="",K23&lt;&gt;"VAT_APPLICABLE"),0,J23*0.1)</x:f>
        <x:v>0</x:v>
      </x:c>
      <x:c r="M23" s="17" t="str">
        <x:f>IF(J23="","",J23+L23)</x:f>
      </x:c>
      <x:c r="N23" s="11"/>
      <x:c r="O23" s="15"/>
      <x:c r="P23" s="15"/>
      <x:c r="Q23" s="11"/>
      <x:c r="R23" s="11"/>
      <x:c r="S23" s="17"/>
      <x:c r="T23" s="17" t="str">
        <x:f>IF(J23="","",J23-S23)</x:f>
      </x:c>
      <x:c r="U23" s="11"/>
    </x:row>
    <x:row r="24">
      <x:c r="A24" s="15"/>
      <x:c r="B24" s="11" t="str">
        <x:f>IF(A24="","",TEXT(A24,"yyyy-mm"))</x:f>
      </x:c>
      <x:c r="C24" s="11"/>
      <x:c r="D24" s="11"/>
      <x:c r="E24" s="11"/>
      <x:c r="F24" s="11"/>
      <x:c r="G24" s="11"/>
      <x:c r="H24" s="17"/>
      <x:c r="I24" s="17"/>
      <x:c r="J24" s="17" t="str">
        <x:f>IF(H24="","",H24*I24)</x:f>
      </x:c>
      <x:c r="K24" s="11"/>
      <x:c r="L24" s="17" t="n">
        <x:f>IF(OR(J24="",K24&lt;&gt;"VAT_APPLICABLE"),0,J24*0.1)</x:f>
        <x:v>0</x:v>
      </x:c>
      <x:c r="M24" s="17" t="str">
        <x:f>IF(J24="","",J24+L24)</x:f>
      </x:c>
      <x:c r="N24" s="11"/>
      <x:c r="O24" s="15"/>
      <x:c r="P24" s="15"/>
      <x:c r="Q24" s="11"/>
      <x:c r="R24" s="11"/>
      <x:c r="S24" s="17"/>
      <x:c r="T24" s="17" t="str">
        <x:f>IF(J24="","",J24-S24)</x:f>
      </x:c>
      <x:c r="U24" s="11"/>
    </x:row>
    <x:row r="25">
      <x:c r="A25" s="15"/>
      <x:c r="B25" s="11" t="str">
        <x:f>IF(A25="","",TEXT(A25,"yyyy-mm"))</x:f>
      </x:c>
      <x:c r="C25" s="11"/>
      <x:c r="D25" s="11"/>
      <x:c r="E25" s="11"/>
      <x:c r="F25" s="11"/>
      <x:c r="G25" s="11"/>
      <x:c r="H25" s="17"/>
      <x:c r="I25" s="17"/>
      <x:c r="J25" s="17" t="str">
        <x:f>IF(H25="","",H25*I25)</x:f>
      </x:c>
      <x:c r="K25" s="11"/>
      <x:c r="L25" s="17" t="n">
        <x:f>IF(OR(J25="",K25&lt;&gt;"VAT_APPLICABLE"),0,J25*0.1)</x:f>
        <x:v>0</x:v>
      </x:c>
      <x:c r="M25" s="17" t="str">
        <x:f>IF(J25="","",J25+L25)</x:f>
      </x:c>
      <x:c r="N25" s="11"/>
      <x:c r="O25" s="15"/>
      <x:c r="P25" s="15"/>
      <x:c r="Q25" s="11"/>
      <x:c r="R25" s="11"/>
      <x:c r="S25" s="17"/>
      <x:c r="T25" s="17" t="str">
        <x:f>IF(J25="","",J25-S25)</x:f>
      </x:c>
      <x:c r="U25" s="11"/>
    </x:row>
    <x:row r="26">
      <x:c r="A26" s="15"/>
      <x:c r="B26" s="11" t="str">
        <x:f>IF(A26="","",TEXT(A26,"yyyy-mm"))</x:f>
      </x:c>
      <x:c r="C26" s="11"/>
      <x:c r="D26" s="11"/>
      <x:c r="E26" s="11"/>
      <x:c r="F26" s="11"/>
      <x:c r="G26" s="11"/>
      <x:c r="H26" s="17"/>
      <x:c r="I26" s="17"/>
      <x:c r="J26" s="17" t="str">
        <x:f>IF(H26="","",H26*I26)</x:f>
      </x:c>
      <x:c r="K26" s="11"/>
      <x:c r="L26" s="17" t="n">
        <x:f>IF(OR(J26="",K26&lt;&gt;"VAT_APPLICABLE"),0,J26*0.1)</x:f>
        <x:v>0</x:v>
      </x:c>
      <x:c r="M26" s="17" t="str">
        <x:f>IF(J26="","",J26+L26)</x:f>
      </x:c>
      <x:c r="N26" s="11"/>
      <x:c r="O26" s="15"/>
      <x:c r="P26" s="15"/>
      <x:c r="Q26" s="11"/>
      <x:c r="R26" s="11"/>
      <x:c r="S26" s="17"/>
      <x:c r="T26" s="17" t="str">
        <x:f>IF(J26="","",J26-S26)</x:f>
      </x:c>
      <x:c r="U26" s="11"/>
    </x:row>
    <x:row r="27">
      <x:c r="A27" s="15"/>
      <x:c r="B27" s="11" t="str">
        <x:f>IF(A27="","",TEXT(A27,"yyyy-mm"))</x:f>
      </x:c>
      <x:c r="C27" s="11"/>
      <x:c r="D27" s="11"/>
      <x:c r="E27" s="11"/>
      <x:c r="F27" s="11"/>
      <x:c r="G27" s="11"/>
      <x:c r="H27" s="17"/>
      <x:c r="I27" s="17"/>
      <x:c r="J27" s="17" t="str">
        <x:f>IF(H27="","",H27*I27)</x:f>
      </x:c>
      <x:c r="K27" s="11"/>
      <x:c r="L27" s="17" t="n">
        <x:f>IF(OR(J27="",K27&lt;&gt;"VAT_APPLICABLE"),0,J27*0.1)</x:f>
        <x:v>0</x:v>
      </x:c>
      <x:c r="M27" s="17" t="str">
        <x:f>IF(J27="","",J27+L27)</x:f>
      </x:c>
      <x:c r="N27" s="11"/>
      <x:c r="O27" s="15"/>
      <x:c r="P27" s="15"/>
      <x:c r="Q27" s="11"/>
      <x:c r="R27" s="11"/>
      <x:c r="S27" s="17"/>
      <x:c r="T27" s="17" t="str">
        <x:f>IF(J27="","",J27-S27)</x:f>
      </x:c>
      <x:c r="U27" s="11"/>
    </x:row>
    <x:row r="28">
      <x:c r="A28" s="15"/>
      <x:c r="B28" s="11" t="str">
        <x:f>IF(A28="","",TEXT(A28,"yyyy-mm"))</x:f>
      </x:c>
      <x:c r="C28" s="11"/>
      <x:c r="D28" s="11"/>
      <x:c r="E28" s="11"/>
      <x:c r="F28" s="11"/>
      <x:c r="G28" s="11"/>
      <x:c r="H28" s="17"/>
      <x:c r="I28" s="17"/>
      <x:c r="J28" s="17" t="str">
        <x:f>IF(H28="","",H28*I28)</x:f>
      </x:c>
      <x:c r="K28" s="11"/>
      <x:c r="L28" s="17" t="n">
        <x:f>IF(OR(J28="",K28&lt;&gt;"VAT_APPLICABLE"),0,J28*0.1)</x:f>
        <x:v>0</x:v>
      </x:c>
      <x:c r="M28" s="17" t="str">
        <x:f>IF(J28="","",J28+L28)</x:f>
      </x:c>
      <x:c r="N28" s="11"/>
      <x:c r="O28" s="15"/>
      <x:c r="P28" s="15"/>
      <x:c r="Q28" s="11"/>
      <x:c r="R28" s="11"/>
      <x:c r="S28" s="17"/>
      <x:c r="T28" s="17" t="str">
        <x:f>IF(J28="","",J28-S28)</x:f>
      </x:c>
      <x:c r="U28" s="11"/>
    </x:row>
    <x:row r="29">
      <x:c r="A29" s="15"/>
      <x:c r="B29" s="11" t="str">
        <x:f>IF(A29="","",TEXT(A29,"yyyy-mm"))</x:f>
      </x:c>
      <x:c r="C29" s="11"/>
      <x:c r="D29" s="11"/>
      <x:c r="E29" s="11"/>
      <x:c r="F29" s="11"/>
      <x:c r="G29" s="11"/>
      <x:c r="H29" s="17"/>
      <x:c r="I29" s="17"/>
      <x:c r="J29" s="17" t="str">
        <x:f>IF(H29="","",H29*I29)</x:f>
      </x:c>
      <x:c r="K29" s="11"/>
      <x:c r="L29" s="17" t="n">
        <x:f>IF(OR(J29="",K29&lt;&gt;"VAT_APPLICABLE"),0,J29*0.1)</x:f>
        <x:v>0</x:v>
      </x:c>
      <x:c r="M29" s="17" t="str">
        <x:f>IF(J29="","",J29+L29)</x:f>
      </x:c>
      <x:c r="N29" s="11"/>
      <x:c r="O29" s="15"/>
      <x:c r="P29" s="15"/>
      <x:c r="Q29" s="11"/>
      <x:c r="R29" s="11"/>
      <x:c r="S29" s="17"/>
      <x:c r="T29" s="17" t="str">
        <x:f>IF(J29="","",J29-S29)</x:f>
      </x:c>
      <x:c r="U29" s="11"/>
    </x:row>
    <x:row r="30">
      <x:c r="A30" s="15"/>
      <x:c r="B30" s="11" t="str">
        <x:f>IF(A30="","",TEXT(A30,"yyyy-mm"))</x:f>
      </x:c>
      <x:c r="C30" s="11"/>
      <x:c r="D30" s="11"/>
      <x:c r="E30" s="11"/>
      <x:c r="F30" s="11"/>
      <x:c r="G30" s="11"/>
      <x:c r="H30" s="17"/>
      <x:c r="I30" s="17"/>
      <x:c r="J30" s="17" t="str">
        <x:f>IF(H30="","",H30*I30)</x:f>
      </x:c>
      <x:c r="K30" s="11"/>
      <x:c r="L30" s="17" t="n">
        <x:f>IF(OR(J30="",K30&lt;&gt;"VAT_APPLICABLE"),0,J30*0.1)</x:f>
        <x:v>0</x:v>
      </x:c>
      <x:c r="M30" s="17" t="str">
        <x:f>IF(J30="","",J30+L30)</x:f>
      </x:c>
      <x:c r="N30" s="11"/>
      <x:c r="O30" s="15"/>
      <x:c r="P30" s="15"/>
      <x:c r="Q30" s="11"/>
      <x:c r="R30" s="11"/>
      <x:c r="S30" s="17"/>
      <x:c r="T30" s="17" t="str">
        <x:f>IF(J30="","",J30-S30)</x:f>
      </x:c>
      <x:c r="U30" s="11"/>
    </x:row>
    <x:row r="31">
      <x:c r="A31" s="15"/>
      <x:c r="B31" s="11" t="str">
        <x:f>IF(A31="","",TEXT(A31,"yyyy-mm"))</x:f>
      </x:c>
      <x:c r="C31" s="11"/>
      <x:c r="D31" s="11"/>
      <x:c r="E31" s="11"/>
      <x:c r="F31" s="11"/>
      <x:c r="G31" s="11"/>
      <x:c r="H31" s="17"/>
      <x:c r="I31" s="17"/>
      <x:c r="J31" s="17" t="str">
        <x:f>IF(H31="","",H31*I31)</x:f>
      </x:c>
      <x:c r="K31" s="11"/>
      <x:c r="L31" s="17" t="n">
        <x:f>IF(OR(J31="",K31&lt;&gt;"VAT_APPLICABLE"),0,J31*0.1)</x:f>
        <x:v>0</x:v>
      </x:c>
      <x:c r="M31" s="17" t="str">
        <x:f>IF(J31="","",J31+L31)</x:f>
      </x:c>
      <x:c r="N31" s="11"/>
      <x:c r="O31" s="15"/>
      <x:c r="P31" s="15"/>
      <x:c r="Q31" s="11"/>
      <x:c r="R31" s="11"/>
      <x:c r="S31" s="17"/>
      <x:c r="T31" s="17" t="str">
        <x:f>IF(J31="","",J31-S31)</x:f>
      </x:c>
      <x:c r="U31" s="11"/>
    </x:row>
    <x:row r="32">
      <x:c r="A32" s="15"/>
      <x:c r="B32" s="11" t="str">
        <x:f>IF(A32="","",TEXT(A32,"yyyy-mm"))</x:f>
      </x:c>
      <x:c r="C32" s="11"/>
      <x:c r="D32" s="11"/>
      <x:c r="E32" s="11"/>
      <x:c r="F32" s="11"/>
      <x:c r="G32" s="11"/>
      <x:c r="H32" s="17"/>
      <x:c r="I32" s="17"/>
      <x:c r="J32" s="17" t="str">
        <x:f>IF(H32="","",H32*I32)</x:f>
      </x:c>
      <x:c r="K32" s="11"/>
      <x:c r="L32" s="17" t="n">
        <x:f>IF(OR(J32="",K32&lt;&gt;"VAT_APPLICABLE"),0,J32*0.1)</x:f>
        <x:v>0</x:v>
      </x:c>
      <x:c r="M32" s="17" t="str">
        <x:f>IF(J32="","",J32+L32)</x:f>
      </x:c>
      <x:c r="N32" s="11"/>
      <x:c r="O32" s="15"/>
      <x:c r="P32" s="15"/>
      <x:c r="Q32" s="11"/>
      <x:c r="R32" s="11"/>
      <x:c r="S32" s="17"/>
      <x:c r="T32" s="17" t="str">
        <x:f>IF(J32="","",J32-S32)</x:f>
      </x:c>
      <x:c r="U32" s="11"/>
    </x:row>
    <x:row r="33">
      <x:c r="A33" s="15"/>
      <x:c r="B33" s="11" t="str">
        <x:f>IF(A33="","",TEXT(A33,"yyyy-mm"))</x:f>
      </x:c>
      <x:c r="C33" s="11"/>
      <x:c r="D33" s="11"/>
      <x:c r="E33" s="11"/>
      <x:c r="F33" s="11"/>
      <x:c r="G33" s="11"/>
      <x:c r="H33" s="17"/>
      <x:c r="I33" s="17"/>
      <x:c r="J33" s="17" t="str">
        <x:f>IF(H33="","",H33*I33)</x:f>
      </x:c>
      <x:c r="K33" s="11"/>
      <x:c r="L33" s="17" t="n">
        <x:f>IF(OR(J33="",K33&lt;&gt;"VAT_APPLICABLE"),0,J33*0.1)</x:f>
        <x:v>0</x:v>
      </x:c>
      <x:c r="M33" s="17" t="str">
        <x:f>IF(J33="","",J33+L33)</x:f>
      </x:c>
      <x:c r="N33" s="11"/>
      <x:c r="O33" s="15"/>
      <x:c r="P33" s="15"/>
      <x:c r="Q33" s="11"/>
      <x:c r="R33" s="11"/>
      <x:c r="S33" s="17"/>
      <x:c r="T33" s="17" t="str">
        <x:f>IF(J33="","",J33-S33)</x:f>
      </x:c>
      <x:c r="U33" s="11"/>
    </x:row>
    <x:row r="34">
      <x:c r="A34" s="15"/>
      <x:c r="B34" s="11" t="str">
        <x:f>IF(A34="","",TEXT(A34,"yyyy-mm"))</x:f>
      </x:c>
      <x:c r="C34" s="11"/>
      <x:c r="D34" s="11"/>
      <x:c r="E34" s="11"/>
      <x:c r="F34" s="11"/>
      <x:c r="G34" s="11"/>
      <x:c r="H34" s="17"/>
      <x:c r="I34" s="17"/>
      <x:c r="J34" s="17" t="str">
        <x:f>IF(H34="","",H34*I34)</x:f>
      </x:c>
      <x:c r="K34" s="11"/>
      <x:c r="L34" s="17" t="n">
        <x:f>IF(OR(J34="",K34&lt;&gt;"VAT_APPLICABLE"),0,J34*0.1)</x:f>
        <x:v>0</x:v>
      </x:c>
      <x:c r="M34" s="17" t="str">
        <x:f>IF(J34="","",J34+L34)</x:f>
      </x:c>
      <x:c r="N34" s="11"/>
      <x:c r="O34" s="15"/>
      <x:c r="P34" s="15"/>
      <x:c r="Q34" s="11"/>
      <x:c r="R34" s="11"/>
      <x:c r="S34" s="17"/>
      <x:c r="T34" s="17" t="str">
        <x:f>IF(J34="","",J34-S34)</x:f>
      </x:c>
      <x:c r="U34" s="11"/>
    </x:row>
    <x:row r="35">
      <x:c r="A35" s="15"/>
      <x:c r="B35" s="11" t="str">
        <x:f>IF(A35="","",TEXT(A35,"yyyy-mm"))</x:f>
      </x:c>
      <x:c r="C35" s="11"/>
      <x:c r="D35" s="11"/>
      <x:c r="E35" s="11"/>
      <x:c r="F35" s="11"/>
      <x:c r="G35" s="11"/>
      <x:c r="H35" s="17"/>
      <x:c r="I35" s="17"/>
      <x:c r="J35" s="17" t="str">
        <x:f>IF(H35="","",H35*I35)</x:f>
      </x:c>
      <x:c r="K35" s="11"/>
      <x:c r="L35" s="17" t="n">
        <x:f>IF(OR(J35="",K35&lt;&gt;"VAT_APPLICABLE"),0,J35*0.1)</x:f>
        <x:v>0</x:v>
      </x:c>
      <x:c r="M35" s="17" t="str">
        <x:f>IF(J35="","",J35+L35)</x:f>
      </x:c>
      <x:c r="N35" s="11"/>
      <x:c r="O35" s="15"/>
      <x:c r="P35" s="15"/>
      <x:c r="Q35" s="11"/>
      <x:c r="R35" s="11"/>
      <x:c r="S35" s="17"/>
      <x:c r="T35" s="17" t="str">
        <x:f>IF(J35="","",J35-S35)</x:f>
      </x:c>
      <x:c r="U35" s="11"/>
    </x:row>
    <x:row r="36">
      <x:c r="A36" s="15"/>
      <x:c r="B36" s="11" t="str">
        <x:f>IF(A36="","",TEXT(A36,"yyyy-mm"))</x:f>
      </x:c>
      <x:c r="C36" s="11"/>
      <x:c r="D36" s="11"/>
      <x:c r="E36" s="11"/>
      <x:c r="F36" s="11"/>
      <x:c r="G36" s="11"/>
      <x:c r="H36" s="17"/>
      <x:c r="I36" s="17"/>
      <x:c r="J36" s="17" t="str">
        <x:f>IF(H36="","",H36*I36)</x:f>
      </x:c>
      <x:c r="K36" s="11"/>
      <x:c r="L36" s="17" t="n">
        <x:f>IF(OR(J36="",K36&lt;&gt;"VAT_APPLICABLE"),0,J36*0.1)</x:f>
        <x:v>0</x:v>
      </x:c>
      <x:c r="M36" s="17" t="str">
        <x:f>IF(J36="","",J36+L36)</x:f>
      </x:c>
      <x:c r="N36" s="11"/>
      <x:c r="O36" s="15"/>
      <x:c r="P36" s="15"/>
      <x:c r="Q36" s="11"/>
      <x:c r="R36" s="11"/>
      <x:c r="S36" s="17"/>
      <x:c r="T36" s="17" t="str">
        <x:f>IF(J36="","",J36-S36)</x:f>
      </x:c>
      <x:c r="U36" s="11"/>
    </x:row>
    <x:row r="37">
      <x:c r="A37" s="15"/>
      <x:c r="B37" s="11" t="str">
        <x:f>IF(A37="","",TEXT(A37,"yyyy-mm"))</x:f>
      </x:c>
      <x:c r="C37" s="11"/>
      <x:c r="D37" s="11"/>
      <x:c r="E37" s="11"/>
      <x:c r="F37" s="11"/>
      <x:c r="G37" s="11"/>
      <x:c r="H37" s="17"/>
      <x:c r="I37" s="17"/>
      <x:c r="J37" s="17" t="str">
        <x:f>IF(H37="","",H37*I37)</x:f>
      </x:c>
      <x:c r="K37" s="11"/>
      <x:c r="L37" s="17" t="n">
        <x:f>IF(OR(J37="",K37&lt;&gt;"VAT_APPLICABLE"),0,J37*0.1)</x:f>
        <x:v>0</x:v>
      </x:c>
      <x:c r="M37" s="17" t="str">
        <x:f>IF(J37="","",J37+L37)</x:f>
      </x:c>
      <x:c r="N37" s="11"/>
      <x:c r="O37" s="15"/>
      <x:c r="P37" s="15"/>
      <x:c r="Q37" s="11"/>
      <x:c r="R37" s="11"/>
      <x:c r="S37" s="17"/>
      <x:c r="T37" s="17" t="str">
        <x:f>IF(J37="","",J37-S37)</x:f>
      </x:c>
      <x:c r="U37" s="11"/>
    </x:row>
    <x:row r="38">
      <x:c r="A38" s="15"/>
      <x:c r="B38" s="11" t="str">
        <x:f>IF(A38="","",TEXT(A38,"yyyy-mm"))</x:f>
      </x:c>
      <x:c r="C38" s="11"/>
      <x:c r="D38" s="11"/>
      <x:c r="E38" s="11"/>
      <x:c r="F38" s="11"/>
      <x:c r="G38" s="11"/>
      <x:c r="H38" s="17"/>
      <x:c r="I38" s="17"/>
      <x:c r="J38" s="17" t="str">
        <x:f>IF(H38="","",H38*I38)</x:f>
      </x:c>
      <x:c r="K38" s="11"/>
      <x:c r="L38" s="17" t="n">
        <x:f>IF(OR(J38="",K38&lt;&gt;"VAT_APPLICABLE"),0,J38*0.1)</x:f>
        <x:v>0</x:v>
      </x:c>
      <x:c r="M38" s="17" t="str">
        <x:f>IF(J38="","",J38+L38)</x:f>
      </x:c>
      <x:c r="N38" s="11"/>
      <x:c r="O38" s="15"/>
      <x:c r="P38" s="15"/>
      <x:c r="Q38" s="11"/>
      <x:c r="R38" s="11"/>
      <x:c r="S38" s="17"/>
      <x:c r="T38" s="17" t="str">
        <x:f>IF(J38="","",J38-S38)</x:f>
      </x:c>
      <x:c r="U38" s="11"/>
    </x:row>
    <x:row r="39">
      <x:c r="A39" s="15"/>
      <x:c r="B39" s="11" t="str">
        <x:f>IF(A39="","",TEXT(A39,"yyyy-mm"))</x:f>
      </x:c>
      <x:c r="C39" s="11"/>
      <x:c r="D39" s="11"/>
      <x:c r="E39" s="11"/>
      <x:c r="F39" s="11"/>
      <x:c r="G39" s="11"/>
      <x:c r="H39" s="17"/>
      <x:c r="I39" s="17"/>
      <x:c r="J39" s="17" t="str">
        <x:f>IF(H39="","",H39*I39)</x:f>
      </x:c>
      <x:c r="K39" s="11"/>
      <x:c r="L39" s="17" t="n">
        <x:f>IF(OR(J39="",K39&lt;&gt;"VAT_APPLICABLE"),0,J39*0.1)</x:f>
        <x:v>0</x:v>
      </x:c>
      <x:c r="M39" s="17" t="str">
        <x:f>IF(J39="","",J39+L39)</x:f>
      </x:c>
      <x:c r="N39" s="11"/>
      <x:c r="O39" s="15"/>
      <x:c r="P39" s="15"/>
      <x:c r="Q39" s="11"/>
      <x:c r="R39" s="11"/>
      <x:c r="S39" s="17"/>
      <x:c r="T39" s="17" t="str">
        <x:f>IF(J39="","",J39-S39)</x:f>
      </x:c>
      <x:c r="U39" s="11"/>
    </x:row>
    <x:row r="40">
      <x:c r="A40" s="15"/>
      <x:c r="B40" s="11" t="str">
        <x:f>IF(A40="","",TEXT(A40,"yyyy-mm"))</x:f>
      </x:c>
      <x:c r="C40" s="11"/>
      <x:c r="D40" s="11"/>
      <x:c r="E40" s="11"/>
      <x:c r="F40" s="11"/>
      <x:c r="G40" s="11"/>
      <x:c r="H40" s="17"/>
      <x:c r="I40" s="17"/>
      <x:c r="J40" s="17" t="str">
        <x:f>IF(H40="","",H40*I40)</x:f>
      </x:c>
      <x:c r="K40" s="11"/>
      <x:c r="L40" s="17" t="n">
        <x:f>IF(OR(J40="",K40&lt;&gt;"VAT_APPLICABLE"),0,J40*0.1)</x:f>
        <x:v>0</x:v>
      </x:c>
      <x:c r="M40" s="17" t="str">
        <x:f>IF(J40="","",J40+L40)</x:f>
      </x:c>
      <x:c r="N40" s="11"/>
      <x:c r="O40" s="15"/>
      <x:c r="P40" s="15"/>
      <x:c r="Q40" s="11"/>
      <x:c r="R40" s="11"/>
      <x:c r="S40" s="17"/>
      <x:c r="T40" s="17" t="str">
        <x:f>IF(J40="","",J40-S40)</x:f>
      </x:c>
      <x:c r="U40" s="11"/>
    </x:row>
    <x:row r="41">
      <x:c r="A41" s="15"/>
      <x:c r="B41" s="11" t="str">
        <x:f>IF(A41="","",TEXT(A41,"yyyy-mm"))</x:f>
      </x:c>
      <x:c r="C41" s="11"/>
      <x:c r="D41" s="11"/>
      <x:c r="E41" s="11"/>
      <x:c r="F41" s="11"/>
      <x:c r="G41" s="11"/>
      <x:c r="H41" s="17"/>
      <x:c r="I41" s="17"/>
      <x:c r="J41" s="17" t="str">
        <x:f>IF(H41="","",H41*I41)</x:f>
      </x:c>
      <x:c r="K41" s="11"/>
      <x:c r="L41" s="17" t="n">
        <x:f>IF(OR(J41="",K41&lt;&gt;"VAT_APPLICABLE"),0,J41*0.1)</x:f>
        <x:v>0</x:v>
      </x:c>
      <x:c r="M41" s="17" t="str">
        <x:f>IF(J41="","",J41+L41)</x:f>
      </x:c>
      <x:c r="N41" s="11"/>
      <x:c r="O41" s="15"/>
      <x:c r="P41" s="15"/>
      <x:c r="Q41" s="11"/>
      <x:c r="R41" s="11"/>
      <x:c r="S41" s="17"/>
      <x:c r="T41" s="17" t="str">
        <x:f>IF(J41="","",J41-S41)</x:f>
      </x:c>
      <x:c r="U41" s="11"/>
    </x:row>
    <x:row r="42">
      <x:c r="A42" s="15"/>
      <x:c r="B42" s="11" t="str">
        <x:f>IF(A42="","",TEXT(A42,"yyyy-mm"))</x:f>
      </x:c>
      <x:c r="C42" s="11"/>
      <x:c r="D42" s="11"/>
      <x:c r="E42" s="11"/>
      <x:c r="F42" s="11"/>
      <x:c r="G42" s="11"/>
      <x:c r="H42" s="17"/>
      <x:c r="I42" s="17"/>
      <x:c r="J42" s="17" t="str">
        <x:f>IF(H42="","",H42*I42)</x:f>
      </x:c>
      <x:c r="K42" s="11"/>
      <x:c r="L42" s="17" t="n">
        <x:f>IF(OR(J42="",K42&lt;&gt;"VAT_APPLICABLE"),0,J42*0.1)</x:f>
        <x:v>0</x:v>
      </x:c>
      <x:c r="M42" s="17" t="str">
        <x:f>IF(J42="","",J42+L42)</x:f>
      </x:c>
      <x:c r="N42" s="11"/>
      <x:c r="O42" s="15"/>
      <x:c r="P42" s="15"/>
      <x:c r="Q42" s="11"/>
      <x:c r="R42" s="11"/>
      <x:c r="S42" s="17"/>
      <x:c r="T42" s="17" t="str">
        <x:f>IF(J42="","",J42-S42)</x:f>
      </x:c>
      <x:c r="U42" s="11"/>
    </x:row>
    <x:row r="43">
      <x:c r="A43" s="15"/>
      <x:c r="B43" s="11" t="str">
        <x:f>IF(A43="","",TEXT(A43,"yyyy-mm"))</x:f>
      </x:c>
      <x:c r="C43" s="11"/>
      <x:c r="D43" s="11"/>
      <x:c r="E43" s="11"/>
      <x:c r="F43" s="11"/>
      <x:c r="G43" s="11"/>
      <x:c r="H43" s="17"/>
      <x:c r="I43" s="17"/>
      <x:c r="J43" s="17" t="str">
        <x:f>IF(H43="","",H43*I43)</x:f>
      </x:c>
      <x:c r="K43" s="11"/>
      <x:c r="L43" s="17" t="n">
        <x:f>IF(OR(J43="",K43&lt;&gt;"VAT_APPLICABLE"),0,J43*0.1)</x:f>
        <x:v>0</x:v>
      </x:c>
      <x:c r="M43" s="17" t="str">
        <x:f>IF(J43="","",J43+L43)</x:f>
      </x:c>
      <x:c r="N43" s="11"/>
      <x:c r="O43" s="15"/>
      <x:c r="P43" s="15"/>
      <x:c r="Q43" s="11"/>
      <x:c r="R43" s="11"/>
      <x:c r="S43" s="17"/>
      <x:c r="T43" s="17" t="str">
        <x:f>IF(J43="","",J43-S43)</x:f>
      </x:c>
      <x:c r="U43" s="11"/>
    </x:row>
    <x:row r="44">
      <x:c r="A44" s="15"/>
      <x:c r="B44" s="11" t="str">
        <x:f>IF(A44="","",TEXT(A44,"yyyy-mm"))</x:f>
      </x:c>
      <x:c r="C44" s="11"/>
      <x:c r="D44" s="11"/>
      <x:c r="E44" s="11"/>
      <x:c r="F44" s="11"/>
      <x:c r="G44" s="11"/>
      <x:c r="H44" s="17"/>
      <x:c r="I44" s="17"/>
      <x:c r="J44" s="17" t="str">
        <x:f>IF(H44="","",H44*I44)</x:f>
      </x:c>
      <x:c r="K44" s="11"/>
      <x:c r="L44" s="17" t="n">
        <x:f>IF(OR(J44="",K44&lt;&gt;"VAT_APPLICABLE"),0,J44*0.1)</x:f>
        <x:v>0</x:v>
      </x:c>
      <x:c r="M44" s="17" t="str">
        <x:f>IF(J44="","",J44+L44)</x:f>
      </x:c>
      <x:c r="N44" s="11"/>
      <x:c r="O44" s="15"/>
      <x:c r="P44" s="15"/>
      <x:c r="Q44" s="11"/>
      <x:c r="R44" s="11"/>
      <x:c r="S44" s="17"/>
      <x:c r="T44" s="17" t="str">
        <x:f>IF(J44="","",J44-S44)</x:f>
      </x:c>
      <x:c r="U44" s="11"/>
    </x:row>
    <x:row r="45">
      <x:c r="A45" s="15"/>
      <x:c r="B45" s="11" t="str">
        <x:f>IF(A45="","",TEXT(A45,"yyyy-mm"))</x:f>
      </x:c>
      <x:c r="C45" s="11"/>
      <x:c r="D45" s="11"/>
      <x:c r="E45" s="11"/>
      <x:c r="F45" s="11"/>
      <x:c r="G45" s="11"/>
      <x:c r="H45" s="17"/>
      <x:c r="I45" s="17"/>
      <x:c r="J45" s="17" t="str">
        <x:f>IF(H45="","",H45*I45)</x:f>
      </x:c>
      <x:c r="K45" s="11"/>
      <x:c r="L45" s="17" t="n">
        <x:f>IF(OR(J45="",K45&lt;&gt;"VAT_APPLICABLE"),0,J45*0.1)</x:f>
        <x:v>0</x:v>
      </x:c>
      <x:c r="M45" s="17" t="str">
        <x:f>IF(J45="","",J45+L45)</x:f>
      </x:c>
      <x:c r="N45" s="11"/>
      <x:c r="O45" s="15"/>
      <x:c r="P45" s="15"/>
      <x:c r="Q45" s="11"/>
      <x:c r="R45" s="11"/>
      <x:c r="S45" s="17"/>
      <x:c r="T45" s="17" t="str">
        <x:f>IF(J45="","",J45-S45)</x:f>
      </x:c>
      <x:c r="U45" s="11"/>
    </x:row>
    <x:row r="46">
      <x:c r="A46" s="15"/>
      <x:c r="B46" s="11" t="str">
        <x:f>IF(A46="","",TEXT(A46,"yyyy-mm"))</x:f>
      </x:c>
      <x:c r="C46" s="11"/>
      <x:c r="D46" s="11"/>
      <x:c r="E46" s="11"/>
      <x:c r="F46" s="11"/>
      <x:c r="G46" s="11"/>
      <x:c r="H46" s="17"/>
      <x:c r="I46" s="17"/>
      <x:c r="J46" s="17" t="str">
        <x:f>IF(H46="","",H46*I46)</x:f>
      </x:c>
      <x:c r="K46" s="11"/>
      <x:c r="L46" s="17" t="n">
        <x:f>IF(OR(J46="",K46&lt;&gt;"VAT_APPLICABLE"),0,J46*0.1)</x:f>
        <x:v>0</x:v>
      </x:c>
      <x:c r="M46" s="17" t="str">
        <x:f>IF(J46="","",J46+L46)</x:f>
      </x:c>
      <x:c r="N46" s="11"/>
      <x:c r="O46" s="15"/>
      <x:c r="P46" s="15"/>
      <x:c r="Q46" s="11"/>
      <x:c r="R46" s="11"/>
      <x:c r="S46" s="17"/>
      <x:c r="T46" s="17" t="str">
        <x:f>IF(J46="","",J46-S46)</x:f>
      </x:c>
      <x:c r="U46" s="11"/>
    </x:row>
    <x:row r="47">
      <x:c r="A47" s="15"/>
      <x:c r="B47" s="11" t="str">
        <x:f>IF(A47="","",TEXT(A47,"yyyy-mm"))</x:f>
      </x:c>
      <x:c r="C47" s="11"/>
      <x:c r="D47" s="11"/>
      <x:c r="E47" s="11"/>
      <x:c r="F47" s="11"/>
      <x:c r="G47" s="11"/>
      <x:c r="H47" s="17"/>
      <x:c r="I47" s="17"/>
      <x:c r="J47" s="17" t="str">
        <x:f>IF(H47="","",H47*I47)</x:f>
      </x:c>
      <x:c r="K47" s="11"/>
      <x:c r="L47" s="17" t="n">
        <x:f>IF(OR(J47="",K47&lt;&gt;"VAT_APPLICABLE"),0,J47*0.1)</x:f>
        <x:v>0</x:v>
      </x:c>
      <x:c r="M47" s="17" t="str">
        <x:f>IF(J47="","",J47+L47)</x:f>
      </x:c>
      <x:c r="N47" s="11"/>
      <x:c r="O47" s="15"/>
      <x:c r="P47" s="15"/>
      <x:c r="Q47" s="11"/>
      <x:c r="R47" s="11"/>
      <x:c r="S47" s="17"/>
      <x:c r="T47" s="17" t="str">
        <x:f>IF(J47="","",J47-S47)</x:f>
      </x:c>
      <x:c r="U47" s="11"/>
    </x:row>
    <x:row r="48">
      <x:c r="A48" s="15"/>
      <x:c r="B48" s="11" t="str">
        <x:f>IF(A48="","",TEXT(A48,"yyyy-mm"))</x:f>
      </x:c>
      <x:c r="C48" s="11"/>
      <x:c r="D48" s="11"/>
      <x:c r="E48" s="11"/>
      <x:c r="F48" s="11"/>
      <x:c r="G48" s="11"/>
      <x:c r="H48" s="17"/>
      <x:c r="I48" s="17"/>
      <x:c r="J48" s="17" t="str">
        <x:f>IF(H48="","",H48*I48)</x:f>
      </x:c>
      <x:c r="K48" s="11"/>
      <x:c r="L48" s="17" t="n">
        <x:f>IF(OR(J48="",K48&lt;&gt;"VAT_APPLICABLE"),0,J48*0.1)</x:f>
        <x:v>0</x:v>
      </x:c>
      <x:c r="M48" s="17" t="str">
        <x:f>IF(J48="","",J48+L48)</x:f>
      </x:c>
      <x:c r="N48" s="11"/>
      <x:c r="O48" s="15"/>
      <x:c r="P48" s="15"/>
      <x:c r="Q48" s="11"/>
      <x:c r="R48" s="11"/>
      <x:c r="S48" s="17"/>
      <x:c r="T48" s="17" t="str">
        <x:f>IF(J48="","",J48-S48)</x:f>
      </x:c>
      <x:c r="U48" s="11"/>
    </x:row>
    <x:row r="49">
      <x:c r="A49" s="15"/>
      <x:c r="B49" s="11" t="str">
        <x:f>IF(A49="","",TEXT(A49,"yyyy-mm"))</x:f>
      </x:c>
      <x:c r="C49" s="11"/>
      <x:c r="D49" s="11"/>
      <x:c r="E49" s="11"/>
      <x:c r="F49" s="11"/>
      <x:c r="G49" s="11"/>
      <x:c r="H49" s="17"/>
      <x:c r="I49" s="17"/>
      <x:c r="J49" s="17" t="str">
        <x:f>IF(H49="","",H49*I49)</x:f>
      </x:c>
      <x:c r="K49" s="11"/>
      <x:c r="L49" s="17" t="n">
        <x:f>IF(OR(J49="",K49&lt;&gt;"VAT_APPLICABLE"),0,J49*0.1)</x:f>
        <x:v>0</x:v>
      </x:c>
      <x:c r="M49" s="17" t="str">
        <x:f>IF(J49="","",J49+L49)</x:f>
      </x:c>
      <x:c r="N49" s="11"/>
      <x:c r="O49" s="15"/>
      <x:c r="P49" s="15"/>
      <x:c r="Q49" s="11"/>
      <x:c r="R49" s="11"/>
      <x:c r="S49" s="17"/>
      <x:c r="T49" s="17" t="str">
        <x:f>IF(J49="","",J49-S49)</x:f>
      </x:c>
      <x:c r="U49" s="11"/>
    </x:row>
    <x:row r="50">
      <x:c r="A50" s="15"/>
      <x:c r="B50" s="11" t="str">
        <x:f>IF(A50="","",TEXT(A50,"yyyy-mm"))</x:f>
      </x:c>
      <x:c r="C50" s="11"/>
      <x:c r="D50" s="11"/>
      <x:c r="E50" s="11"/>
      <x:c r="F50" s="11"/>
      <x:c r="G50" s="11"/>
      <x:c r="H50" s="17"/>
      <x:c r="I50" s="17"/>
      <x:c r="J50" s="17" t="str">
        <x:f>IF(H50="","",H50*I50)</x:f>
      </x:c>
      <x:c r="K50" s="11"/>
      <x:c r="L50" s="17" t="n">
        <x:f>IF(OR(J50="",K50&lt;&gt;"VAT_APPLICABLE"),0,J50*0.1)</x:f>
        <x:v>0</x:v>
      </x:c>
      <x:c r="M50" s="17" t="str">
        <x:f>IF(J50="","",J50+L50)</x:f>
      </x:c>
      <x:c r="N50" s="11"/>
      <x:c r="O50" s="15"/>
      <x:c r="P50" s="15"/>
      <x:c r="Q50" s="11"/>
      <x:c r="R50" s="11"/>
      <x:c r="S50" s="17"/>
      <x:c r="T50" s="17" t="str">
        <x:f>IF(J50="","",J50-S50)</x:f>
      </x:c>
      <x:c r="U50" s="11"/>
    </x:row>
    <x:row r="51">
      <x:c r="A51" s="15"/>
      <x:c r="B51" s="11" t="str">
        <x:f>IF(A51="","",TEXT(A51,"yyyy-mm"))</x:f>
      </x:c>
      <x:c r="C51" s="11"/>
      <x:c r="D51" s="11"/>
      <x:c r="E51" s="11"/>
      <x:c r="F51" s="11"/>
      <x:c r="G51" s="11"/>
      <x:c r="H51" s="17"/>
      <x:c r="I51" s="17"/>
      <x:c r="J51" s="17" t="str">
        <x:f>IF(H51="","",H51*I51)</x:f>
      </x:c>
      <x:c r="K51" s="11"/>
      <x:c r="L51" s="17" t="n">
        <x:f>IF(OR(J51="",K51&lt;&gt;"VAT_APPLICABLE"),0,J51*0.1)</x:f>
        <x:v>0</x:v>
      </x:c>
      <x:c r="M51" s="17" t="str">
        <x:f>IF(J51="","",J51+L51)</x:f>
      </x:c>
      <x:c r="N51" s="11"/>
      <x:c r="O51" s="15"/>
      <x:c r="P51" s="15"/>
      <x:c r="Q51" s="11"/>
      <x:c r="R51" s="11"/>
      <x:c r="S51" s="17"/>
      <x:c r="T51" s="17" t="str">
        <x:f>IF(J51="","",J51-S51)</x:f>
      </x:c>
      <x:c r="U51" s="11"/>
    </x:row>
    <x:row r="52">
      <x:c r="A52" s="15"/>
      <x:c r="B52" s="11" t="str">
        <x:f>IF(A52="","",TEXT(A52,"yyyy-mm"))</x:f>
      </x:c>
      <x:c r="C52" s="11"/>
      <x:c r="D52" s="11"/>
      <x:c r="E52" s="11"/>
      <x:c r="F52" s="11"/>
      <x:c r="G52" s="11"/>
      <x:c r="H52" s="17"/>
      <x:c r="I52" s="17"/>
      <x:c r="J52" s="17" t="str">
        <x:f>IF(H52="","",H52*I52)</x:f>
      </x:c>
      <x:c r="K52" s="11"/>
      <x:c r="L52" s="17" t="n">
        <x:f>IF(OR(J52="",K52&lt;&gt;"VAT_APPLICABLE"),0,J52*0.1)</x:f>
        <x:v>0</x:v>
      </x:c>
      <x:c r="M52" s="17" t="str">
        <x:f>IF(J52="","",J52+L52)</x:f>
      </x:c>
      <x:c r="N52" s="11"/>
      <x:c r="O52" s="15"/>
      <x:c r="P52" s="15"/>
      <x:c r="Q52" s="11"/>
      <x:c r="R52" s="11"/>
      <x:c r="S52" s="17"/>
      <x:c r="T52" s="17" t="str">
        <x:f>IF(J52="","",J52-S52)</x:f>
      </x:c>
      <x:c r="U52" s="11"/>
    </x:row>
    <x:row r="53">
      <x:c r="A53" s="15"/>
      <x:c r="B53" s="11" t="str">
        <x:f>IF(A53="","",TEXT(A53,"yyyy-mm"))</x:f>
      </x:c>
      <x:c r="C53" s="11"/>
      <x:c r="D53" s="11"/>
      <x:c r="E53" s="11"/>
      <x:c r="F53" s="11"/>
      <x:c r="G53" s="11"/>
      <x:c r="H53" s="17"/>
      <x:c r="I53" s="17"/>
      <x:c r="J53" s="17" t="str">
        <x:f>IF(H53="","",H53*I53)</x:f>
      </x:c>
      <x:c r="K53" s="11"/>
      <x:c r="L53" s="17" t="n">
        <x:f>IF(OR(J53="",K53&lt;&gt;"VAT_APPLICABLE"),0,J53*0.1)</x:f>
        <x:v>0</x:v>
      </x:c>
      <x:c r="M53" s="17" t="str">
        <x:f>IF(J53="","",J53+L53)</x:f>
      </x:c>
      <x:c r="N53" s="11"/>
      <x:c r="O53" s="15"/>
      <x:c r="P53" s="15"/>
      <x:c r="Q53" s="11"/>
      <x:c r="R53" s="11"/>
      <x:c r="S53" s="17"/>
      <x:c r="T53" s="17" t="str">
        <x:f>IF(J53="","",J53-S53)</x:f>
      </x:c>
      <x:c r="U53" s="11"/>
    </x:row>
    <x:row r="54">
      <x:c r="A54" s="15"/>
      <x:c r="B54" s="11" t="str">
        <x:f>IF(A54="","",TEXT(A54,"yyyy-mm"))</x:f>
      </x:c>
      <x:c r="C54" s="11"/>
      <x:c r="D54" s="11"/>
      <x:c r="E54" s="11"/>
      <x:c r="F54" s="11"/>
      <x:c r="G54" s="11"/>
      <x:c r="H54" s="17"/>
      <x:c r="I54" s="17"/>
      <x:c r="J54" s="17" t="str">
        <x:f>IF(H54="","",H54*I54)</x:f>
      </x:c>
      <x:c r="K54" s="11"/>
      <x:c r="L54" s="17" t="n">
        <x:f>IF(OR(J54="",K54&lt;&gt;"VAT_APPLICABLE"),0,J54*0.1)</x:f>
        <x:v>0</x:v>
      </x:c>
      <x:c r="M54" s="17" t="str">
        <x:f>IF(J54="","",J54+L54)</x:f>
      </x:c>
      <x:c r="N54" s="11"/>
      <x:c r="O54" s="15"/>
      <x:c r="P54" s="15"/>
      <x:c r="Q54" s="11"/>
      <x:c r="R54" s="11"/>
      <x:c r="S54" s="17"/>
      <x:c r="T54" s="17" t="str">
        <x:f>IF(J54="","",J54-S54)</x:f>
      </x:c>
      <x:c r="U54" s="11"/>
    </x:row>
    <x:row r="55">
      <x:c r="A55" s="15"/>
      <x:c r="B55" s="11" t="str">
        <x:f>IF(A55="","",TEXT(A55,"yyyy-mm"))</x:f>
      </x:c>
      <x:c r="C55" s="11"/>
      <x:c r="D55" s="11"/>
      <x:c r="E55" s="11"/>
      <x:c r="F55" s="11"/>
      <x:c r="G55" s="11"/>
      <x:c r="H55" s="17"/>
      <x:c r="I55" s="17"/>
      <x:c r="J55" s="17" t="str">
        <x:f>IF(H55="","",H55*I55)</x:f>
      </x:c>
      <x:c r="K55" s="11"/>
      <x:c r="L55" s="17" t="n">
        <x:f>IF(OR(J55="",K55&lt;&gt;"VAT_APPLICABLE"),0,J55*0.1)</x:f>
        <x:v>0</x:v>
      </x:c>
      <x:c r="M55" s="17" t="str">
        <x:f>IF(J55="","",J55+L55)</x:f>
      </x:c>
      <x:c r="N55" s="11"/>
      <x:c r="O55" s="15"/>
      <x:c r="P55" s="15"/>
      <x:c r="Q55" s="11"/>
      <x:c r="R55" s="11"/>
      <x:c r="S55" s="17"/>
      <x:c r="T55" s="17" t="str">
        <x:f>IF(J55="","",J55-S55)</x:f>
      </x:c>
      <x:c r="U55" s="11"/>
    </x:row>
    <x:row r="56">
      <x:c r="A56" s="15"/>
      <x:c r="B56" s="11" t="str">
        <x:f>IF(A56="","",TEXT(A56,"yyyy-mm"))</x:f>
      </x:c>
      <x:c r="C56" s="11"/>
      <x:c r="D56" s="11"/>
      <x:c r="E56" s="11"/>
      <x:c r="F56" s="11"/>
      <x:c r="G56" s="11"/>
      <x:c r="H56" s="17"/>
      <x:c r="I56" s="17"/>
      <x:c r="J56" s="17" t="str">
        <x:f>IF(H56="","",H56*I56)</x:f>
      </x:c>
      <x:c r="K56" s="11"/>
      <x:c r="L56" s="17" t="n">
        <x:f>IF(OR(J56="",K56&lt;&gt;"VAT_APPLICABLE"),0,J56*0.1)</x:f>
        <x:v>0</x:v>
      </x:c>
      <x:c r="M56" s="17" t="str">
        <x:f>IF(J56="","",J56+L56)</x:f>
      </x:c>
      <x:c r="N56" s="11"/>
      <x:c r="O56" s="15"/>
      <x:c r="P56" s="15"/>
      <x:c r="Q56" s="11"/>
      <x:c r="R56" s="11"/>
      <x:c r="S56" s="17"/>
      <x:c r="T56" s="17" t="str">
        <x:f>IF(J56="","",J56-S56)</x:f>
      </x:c>
      <x:c r="U56" s="11"/>
    </x:row>
    <x:row r="57">
      <x:c r="A57" s="15"/>
      <x:c r="B57" s="11" t="str">
        <x:f>IF(A57="","",TEXT(A57,"yyyy-mm"))</x:f>
      </x:c>
      <x:c r="C57" s="11"/>
      <x:c r="D57" s="11"/>
      <x:c r="E57" s="11"/>
      <x:c r="F57" s="11"/>
      <x:c r="G57" s="11"/>
      <x:c r="H57" s="17"/>
      <x:c r="I57" s="17"/>
      <x:c r="J57" s="17" t="str">
        <x:f>IF(H57="","",H57*I57)</x:f>
      </x:c>
      <x:c r="K57" s="11"/>
      <x:c r="L57" s="17" t="n">
        <x:f>IF(OR(J57="",K57&lt;&gt;"VAT_APPLICABLE"),0,J57*0.1)</x:f>
        <x:v>0</x:v>
      </x:c>
      <x:c r="M57" s="17" t="str">
        <x:f>IF(J57="","",J57+L57)</x:f>
      </x:c>
      <x:c r="N57" s="11"/>
      <x:c r="O57" s="15"/>
      <x:c r="P57" s="15"/>
      <x:c r="Q57" s="11"/>
      <x:c r="R57" s="11"/>
      <x:c r="S57" s="17"/>
      <x:c r="T57" s="17" t="str">
        <x:f>IF(J57="","",J57-S57)</x:f>
      </x:c>
      <x:c r="U57" s="11"/>
    </x:row>
    <x:row r="58">
      <x:c r="A58" s="15"/>
      <x:c r="B58" s="11" t="str">
        <x:f>IF(A58="","",TEXT(A58,"yyyy-mm"))</x:f>
      </x:c>
      <x:c r="C58" s="11"/>
      <x:c r="D58" s="11"/>
      <x:c r="E58" s="11"/>
      <x:c r="F58" s="11"/>
      <x:c r="G58" s="11"/>
      <x:c r="H58" s="17"/>
      <x:c r="I58" s="17"/>
      <x:c r="J58" s="17" t="str">
        <x:f>IF(H58="","",H58*I58)</x:f>
      </x:c>
      <x:c r="K58" s="11"/>
      <x:c r="L58" s="17" t="n">
        <x:f>IF(OR(J58="",K58&lt;&gt;"VAT_APPLICABLE"),0,J58*0.1)</x:f>
        <x:v>0</x:v>
      </x:c>
      <x:c r="M58" s="17" t="str">
        <x:f>IF(J58="","",J58+L58)</x:f>
      </x:c>
      <x:c r="N58" s="11"/>
      <x:c r="O58" s="15"/>
      <x:c r="P58" s="15"/>
      <x:c r="Q58" s="11"/>
      <x:c r="R58" s="11"/>
      <x:c r="S58" s="17"/>
      <x:c r="T58" s="17" t="str">
        <x:f>IF(J58="","",J58-S58)</x:f>
      </x:c>
      <x:c r="U58" s="11"/>
    </x:row>
    <x:row r="59">
      <x:c r="A59" s="15"/>
      <x:c r="B59" s="11" t="str">
        <x:f>IF(A59="","",TEXT(A59,"yyyy-mm"))</x:f>
      </x:c>
      <x:c r="C59" s="11"/>
      <x:c r="D59" s="11"/>
      <x:c r="E59" s="11"/>
      <x:c r="F59" s="11"/>
      <x:c r="G59" s="11"/>
      <x:c r="H59" s="17"/>
      <x:c r="I59" s="17"/>
      <x:c r="J59" s="17" t="str">
        <x:f>IF(H59="","",H59*I59)</x:f>
      </x:c>
      <x:c r="K59" s="11"/>
      <x:c r="L59" s="17" t="n">
        <x:f>IF(OR(J59="",K59&lt;&gt;"VAT_APPLICABLE"),0,J59*0.1)</x:f>
        <x:v>0</x:v>
      </x:c>
      <x:c r="M59" s="17" t="str">
        <x:f>IF(J59="","",J59+L59)</x:f>
      </x:c>
      <x:c r="N59" s="11"/>
      <x:c r="O59" s="15"/>
      <x:c r="P59" s="15"/>
      <x:c r="Q59" s="11"/>
      <x:c r="R59" s="11"/>
      <x:c r="S59" s="17"/>
      <x:c r="T59" s="17" t="str">
        <x:f>IF(J59="","",J59-S59)</x:f>
      </x:c>
      <x:c r="U59" s="11"/>
    </x:row>
    <x:row r="60">
      <x:c r="A60" s="15"/>
      <x:c r="B60" s="11" t="str">
        <x:f>IF(A60="","",TEXT(A60,"yyyy-mm"))</x:f>
      </x:c>
      <x:c r="C60" s="11"/>
      <x:c r="D60" s="11"/>
      <x:c r="E60" s="11"/>
      <x:c r="F60" s="11"/>
      <x:c r="G60" s="11"/>
      <x:c r="H60" s="17"/>
      <x:c r="I60" s="17"/>
      <x:c r="J60" s="17" t="str">
        <x:f>IF(H60="","",H60*I60)</x:f>
      </x:c>
      <x:c r="K60" s="11"/>
      <x:c r="L60" s="17" t="n">
        <x:f>IF(OR(J60="",K60&lt;&gt;"VAT_APPLICABLE"),0,J60*0.1)</x:f>
        <x:v>0</x:v>
      </x:c>
      <x:c r="M60" s="17" t="str">
        <x:f>IF(J60="","",J60+L60)</x:f>
      </x:c>
      <x:c r="N60" s="11"/>
      <x:c r="O60" s="15"/>
      <x:c r="P60" s="15"/>
      <x:c r="Q60" s="11"/>
      <x:c r="R60" s="11"/>
      <x:c r="S60" s="17"/>
      <x:c r="T60" s="17" t="str">
        <x:f>IF(J60="","",J60-S60)</x:f>
      </x:c>
      <x:c r="U60" s="11"/>
    </x:row>
    <x:row r="61">
      <x:c r="A61" s="15"/>
      <x:c r="B61" s="11" t="str">
        <x:f>IF(A61="","",TEXT(A61,"yyyy-mm"))</x:f>
      </x:c>
      <x:c r="C61" s="11"/>
      <x:c r="D61" s="11"/>
      <x:c r="E61" s="11"/>
      <x:c r="F61" s="11"/>
      <x:c r="G61" s="11"/>
      <x:c r="H61" s="17"/>
      <x:c r="I61" s="17"/>
      <x:c r="J61" s="17" t="str">
        <x:f>IF(H61="","",H61*I61)</x:f>
      </x:c>
      <x:c r="K61" s="11"/>
      <x:c r="L61" s="17" t="n">
        <x:f>IF(OR(J61="",K61&lt;&gt;"VAT_APPLICABLE"),0,J61*0.1)</x:f>
        <x:v>0</x:v>
      </x:c>
      <x:c r="M61" s="17" t="str">
        <x:f>IF(J61="","",J61+L61)</x:f>
      </x:c>
      <x:c r="N61" s="11"/>
      <x:c r="O61" s="15"/>
      <x:c r="P61" s="15"/>
      <x:c r="Q61" s="11"/>
      <x:c r="R61" s="11"/>
      <x:c r="S61" s="17"/>
      <x:c r="T61" s="17" t="str">
        <x:f>IF(J61="","",J61-S61)</x:f>
      </x:c>
      <x:c r="U61" s="11"/>
    </x:row>
    <x:row r="62">
      <x:c r="A62" s="15"/>
      <x:c r="B62" s="11" t="str">
        <x:f>IF(A62="","",TEXT(A62,"yyyy-mm"))</x:f>
      </x:c>
      <x:c r="C62" s="11"/>
      <x:c r="D62" s="11"/>
      <x:c r="E62" s="11"/>
      <x:c r="F62" s="11"/>
      <x:c r="G62" s="11"/>
      <x:c r="H62" s="17"/>
      <x:c r="I62" s="17"/>
      <x:c r="J62" s="17" t="str">
        <x:f>IF(H62="","",H62*I62)</x:f>
      </x:c>
      <x:c r="K62" s="11"/>
      <x:c r="L62" s="17" t="n">
        <x:f>IF(OR(J62="",K62&lt;&gt;"VAT_APPLICABLE"),0,J62*0.1)</x:f>
        <x:v>0</x:v>
      </x:c>
      <x:c r="M62" s="17" t="str">
        <x:f>IF(J62="","",J62+L62)</x:f>
      </x:c>
      <x:c r="N62" s="11"/>
      <x:c r="O62" s="15"/>
      <x:c r="P62" s="15"/>
      <x:c r="Q62" s="11"/>
      <x:c r="R62" s="11"/>
      <x:c r="S62" s="17"/>
      <x:c r="T62" s="17" t="str">
        <x:f>IF(J62="","",J62-S62)</x:f>
      </x:c>
      <x:c r="U62" s="11"/>
    </x:row>
    <x:row r="63">
      <x:c r="A63" s="15"/>
      <x:c r="B63" s="11" t="str">
        <x:f>IF(A63="","",TEXT(A63,"yyyy-mm"))</x:f>
      </x:c>
      <x:c r="C63" s="11"/>
      <x:c r="D63" s="11"/>
      <x:c r="E63" s="11"/>
      <x:c r="F63" s="11"/>
      <x:c r="G63" s="11"/>
      <x:c r="H63" s="17"/>
      <x:c r="I63" s="17"/>
      <x:c r="J63" s="17" t="str">
        <x:f>IF(H63="","",H63*I63)</x:f>
      </x:c>
      <x:c r="K63" s="11"/>
      <x:c r="L63" s="17" t="n">
        <x:f>IF(OR(J63="",K63&lt;&gt;"VAT_APPLICABLE"),0,J63*0.1)</x:f>
        <x:v>0</x:v>
      </x:c>
      <x:c r="M63" s="17" t="str">
        <x:f>IF(J63="","",J63+L63)</x:f>
      </x:c>
      <x:c r="N63" s="11"/>
      <x:c r="O63" s="15"/>
      <x:c r="P63" s="15"/>
      <x:c r="Q63" s="11"/>
      <x:c r="R63" s="11"/>
      <x:c r="S63" s="17"/>
      <x:c r="T63" s="17" t="str">
        <x:f>IF(J63="","",J63-S63)</x:f>
      </x:c>
      <x:c r="U63" s="11"/>
    </x:row>
    <x:row r="64">
      <x:c r="A64" s="15"/>
      <x:c r="B64" s="11" t="str">
        <x:f>IF(A64="","",TEXT(A64,"yyyy-mm"))</x:f>
      </x:c>
      <x:c r="C64" s="11"/>
      <x:c r="D64" s="11"/>
      <x:c r="E64" s="11"/>
      <x:c r="F64" s="11"/>
      <x:c r="G64" s="11"/>
      <x:c r="H64" s="17"/>
      <x:c r="I64" s="17"/>
      <x:c r="J64" s="17" t="str">
        <x:f>IF(H64="","",H64*I64)</x:f>
      </x:c>
      <x:c r="K64" s="11"/>
      <x:c r="L64" s="17" t="n">
        <x:f>IF(OR(J64="",K64&lt;&gt;"VAT_APPLICABLE"),0,J64*0.1)</x:f>
        <x:v>0</x:v>
      </x:c>
      <x:c r="M64" s="17" t="str">
        <x:f>IF(J64="","",J64+L64)</x:f>
      </x:c>
      <x:c r="N64" s="11"/>
      <x:c r="O64" s="15"/>
      <x:c r="P64" s="15"/>
      <x:c r="Q64" s="11"/>
      <x:c r="R64" s="11"/>
      <x:c r="S64" s="17"/>
      <x:c r="T64" s="17" t="str">
        <x:f>IF(J64="","",J64-S64)</x:f>
      </x:c>
      <x:c r="U64" s="11"/>
    </x:row>
    <x:row r="65">
      <x:c r="A65" s="15"/>
      <x:c r="B65" s="11" t="str">
        <x:f>IF(A65="","",TEXT(A65,"yyyy-mm"))</x:f>
      </x:c>
      <x:c r="C65" s="11"/>
      <x:c r="D65" s="11"/>
      <x:c r="E65" s="11"/>
      <x:c r="F65" s="11"/>
      <x:c r="G65" s="11"/>
      <x:c r="H65" s="17"/>
      <x:c r="I65" s="17"/>
      <x:c r="J65" s="17" t="str">
        <x:f>IF(H65="","",H65*I65)</x:f>
      </x:c>
      <x:c r="K65" s="11"/>
      <x:c r="L65" s="17" t="n">
        <x:f>IF(OR(J65="",K65&lt;&gt;"VAT_APPLICABLE"),0,J65*0.1)</x:f>
        <x:v>0</x:v>
      </x:c>
      <x:c r="M65" s="17" t="str">
        <x:f>IF(J65="","",J65+L65)</x:f>
      </x:c>
      <x:c r="N65" s="11"/>
      <x:c r="O65" s="15"/>
      <x:c r="P65" s="15"/>
      <x:c r="Q65" s="11"/>
      <x:c r="R65" s="11"/>
      <x:c r="S65" s="17"/>
      <x:c r="T65" s="17" t="str">
        <x:f>IF(J65="","",J65-S65)</x:f>
      </x:c>
      <x:c r="U65" s="11"/>
    </x:row>
    <x:row r="66">
      <x:c r="A66" s="15"/>
      <x:c r="B66" s="11" t="str">
        <x:f>IF(A66="","",TEXT(A66,"yyyy-mm"))</x:f>
      </x:c>
      <x:c r="C66" s="11"/>
      <x:c r="D66" s="11"/>
      <x:c r="E66" s="11"/>
      <x:c r="F66" s="11"/>
      <x:c r="G66" s="11"/>
      <x:c r="H66" s="17"/>
      <x:c r="I66" s="17"/>
      <x:c r="J66" s="17" t="str">
        <x:f>IF(H66="","",H66*I66)</x:f>
      </x:c>
      <x:c r="K66" s="11"/>
      <x:c r="L66" s="17" t="n">
        <x:f>IF(OR(J66="",K66&lt;&gt;"VAT_APPLICABLE"),0,J66*0.1)</x:f>
        <x:v>0</x:v>
      </x:c>
      <x:c r="M66" s="17" t="str">
        <x:f>IF(J66="","",J66+L66)</x:f>
      </x:c>
      <x:c r="N66" s="11"/>
      <x:c r="O66" s="15"/>
      <x:c r="P66" s="15"/>
      <x:c r="Q66" s="11"/>
      <x:c r="R66" s="11"/>
      <x:c r="S66" s="17"/>
      <x:c r="T66" s="17" t="str">
        <x:f>IF(J66="","",J66-S66)</x:f>
      </x:c>
      <x:c r="U66" s="11"/>
    </x:row>
    <x:row r="67">
      <x:c r="A67" s="15"/>
      <x:c r="B67" s="11" t="str">
        <x:f>IF(A67="","",TEXT(A67,"yyyy-mm"))</x:f>
      </x:c>
      <x:c r="C67" s="11"/>
      <x:c r="D67" s="11"/>
      <x:c r="E67" s="11"/>
      <x:c r="F67" s="11"/>
      <x:c r="G67" s="11"/>
      <x:c r="H67" s="17"/>
      <x:c r="I67" s="17"/>
      <x:c r="J67" s="17" t="str">
        <x:f>IF(H67="","",H67*I67)</x:f>
      </x:c>
      <x:c r="K67" s="11"/>
      <x:c r="L67" s="17" t="n">
        <x:f>IF(OR(J67="",K67&lt;&gt;"VAT_APPLICABLE"),0,J67*0.1)</x:f>
        <x:v>0</x:v>
      </x:c>
      <x:c r="M67" s="17" t="str">
        <x:f>IF(J67="","",J67+L67)</x:f>
      </x:c>
      <x:c r="N67" s="11"/>
      <x:c r="O67" s="15"/>
      <x:c r="P67" s="15"/>
      <x:c r="Q67" s="11"/>
      <x:c r="R67" s="11"/>
      <x:c r="S67" s="17"/>
      <x:c r="T67" s="17" t="str">
        <x:f>IF(J67="","",J67-S67)</x:f>
      </x:c>
      <x:c r="U67" s="11"/>
    </x:row>
    <x:row r="68">
      <x:c r="A68" s="15"/>
      <x:c r="B68" s="11" t="str">
        <x:f>IF(A68="","",TEXT(A68,"yyyy-mm"))</x:f>
      </x:c>
      <x:c r="C68" s="11"/>
      <x:c r="D68" s="11"/>
      <x:c r="E68" s="11"/>
      <x:c r="F68" s="11"/>
      <x:c r="G68" s="11"/>
      <x:c r="H68" s="17"/>
      <x:c r="I68" s="17"/>
      <x:c r="J68" s="17" t="str">
        <x:f>IF(H68="","",H68*I68)</x:f>
      </x:c>
      <x:c r="K68" s="11"/>
      <x:c r="L68" s="17" t="n">
        <x:f>IF(OR(J68="",K68&lt;&gt;"VAT_APPLICABLE"),0,J68*0.1)</x:f>
        <x:v>0</x:v>
      </x:c>
      <x:c r="M68" s="17" t="str">
        <x:f>IF(J68="","",J68+L68)</x:f>
      </x:c>
      <x:c r="N68" s="11"/>
      <x:c r="O68" s="15"/>
      <x:c r="P68" s="15"/>
      <x:c r="Q68" s="11"/>
      <x:c r="R68" s="11"/>
      <x:c r="S68" s="17"/>
      <x:c r="T68" s="17" t="str">
        <x:f>IF(J68="","",J68-S68)</x:f>
      </x:c>
      <x:c r="U68" s="11"/>
    </x:row>
    <x:row r="69">
      <x:c r="A69" s="15"/>
      <x:c r="B69" s="11" t="str">
        <x:f>IF(A69="","",TEXT(A69,"yyyy-mm"))</x:f>
      </x:c>
      <x:c r="C69" s="11"/>
      <x:c r="D69" s="11"/>
      <x:c r="E69" s="11"/>
      <x:c r="F69" s="11"/>
      <x:c r="G69" s="11"/>
      <x:c r="H69" s="17"/>
      <x:c r="I69" s="17"/>
      <x:c r="J69" s="17" t="str">
        <x:f>IF(H69="","",H69*I69)</x:f>
      </x:c>
      <x:c r="K69" s="11"/>
      <x:c r="L69" s="17" t="n">
        <x:f>IF(OR(J69="",K69&lt;&gt;"VAT_APPLICABLE"),0,J69*0.1)</x:f>
        <x:v>0</x:v>
      </x:c>
      <x:c r="M69" s="17" t="str">
        <x:f>IF(J69="","",J69+L69)</x:f>
      </x:c>
      <x:c r="N69" s="11"/>
      <x:c r="O69" s="15"/>
      <x:c r="P69" s="15"/>
      <x:c r="Q69" s="11"/>
      <x:c r="R69" s="11"/>
      <x:c r="S69" s="17"/>
      <x:c r="T69" s="17" t="str">
        <x:f>IF(J69="","",J69-S69)</x:f>
      </x:c>
      <x:c r="U69" s="11"/>
    </x:row>
    <x:row r="70">
      <x:c r="A70" s="15"/>
      <x:c r="B70" s="11" t="str">
        <x:f>IF(A70="","",TEXT(A70,"yyyy-mm"))</x:f>
      </x:c>
      <x:c r="C70" s="11"/>
      <x:c r="D70" s="11"/>
      <x:c r="E70" s="11"/>
      <x:c r="F70" s="11"/>
      <x:c r="G70" s="11"/>
      <x:c r="H70" s="17"/>
      <x:c r="I70" s="17"/>
      <x:c r="J70" s="17" t="str">
        <x:f>IF(H70="","",H70*I70)</x:f>
      </x:c>
      <x:c r="K70" s="11"/>
      <x:c r="L70" s="17" t="n">
        <x:f>IF(OR(J70="",K70&lt;&gt;"VAT_APPLICABLE"),0,J70*0.1)</x:f>
        <x:v>0</x:v>
      </x:c>
      <x:c r="M70" s="17" t="str">
        <x:f>IF(J70="","",J70+L70)</x:f>
      </x:c>
      <x:c r="N70" s="11"/>
      <x:c r="O70" s="15"/>
      <x:c r="P70" s="15"/>
      <x:c r="Q70" s="11"/>
      <x:c r="R70" s="11"/>
      <x:c r="S70" s="17"/>
      <x:c r="T70" s="17" t="str">
        <x:f>IF(J70="","",J70-S70)</x:f>
      </x:c>
      <x:c r="U70" s="11"/>
    </x:row>
    <x:row r="71">
      <x:c r="A71" s="15"/>
      <x:c r="B71" s="11" t="str">
        <x:f>IF(A71="","",TEXT(A71,"yyyy-mm"))</x:f>
      </x:c>
      <x:c r="C71" s="11"/>
      <x:c r="D71" s="11"/>
      <x:c r="E71" s="11"/>
      <x:c r="F71" s="11"/>
      <x:c r="G71" s="11"/>
      <x:c r="H71" s="17"/>
      <x:c r="I71" s="17"/>
      <x:c r="J71" s="17" t="str">
        <x:f>IF(H71="","",H71*I71)</x:f>
      </x:c>
      <x:c r="K71" s="11"/>
      <x:c r="L71" s="17" t="n">
        <x:f>IF(OR(J71="",K71&lt;&gt;"VAT_APPLICABLE"),0,J71*0.1)</x:f>
        <x:v>0</x:v>
      </x:c>
      <x:c r="M71" s="17" t="str">
        <x:f>IF(J71="","",J71+L71)</x:f>
      </x:c>
      <x:c r="N71" s="11"/>
      <x:c r="O71" s="15"/>
      <x:c r="P71" s="15"/>
      <x:c r="Q71" s="11"/>
      <x:c r="R71" s="11"/>
      <x:c r="S71" s="17"/>
      <x:c r="T71" s="17" t="str">
        <x:f>IF(J71="","",J71-S71)</x:f>
      </x:c>
      <x:c r="U71" s="11"/>
    </x:row>
    <x:row r="72">
      <x:c r="A72" s="15"/>
      <x:c r="B72" s="11" t="str">
        <x:f>IF(A72="","",TEXT(A72,"yyyy-mm"))</x:f>
      </x:c>
      <x:c r="C72" s="11"/>
      <x:c r="D72" s="11"/>
      <x:c r="E72" s="11"/>
      <x:c r="F72" s="11"/>
      <x:c r="G72" s="11"/>
      <x:c r="H72" s="17"/>
      <x:c r="I72" s="17"/>
      <x:c r="J72" s="17" t="str">
        <x:f>IF(H72="","",H72*I72)</x:f>
      </x:c>
      <x:c r="K72" s="11"/>
      <x:c r="L72" s="17" t="n">
        <x:f>IF(OR(J72="",K72&lt;&gt;"VAT_APPLICABLE"),0,J72*0.1)</x:f>
        <x:v>0</x:v>
      </x:c>
      <x:c r="M72" s="17" t="str">
        <x:f>IF(J72="","",J72+L72)</x:f>
      </x:c>
      <x:c r="N72" s="11"/>
      <x:c r="O72" s="15"/>
      <x:c r="P72" s="15"/>
      <x:c r="Q72" s="11"/>
      <x:c r="R72" s="11"/>
      <x:c r="S72" s="17"/>
      <x:c r="T72" s="17" t="str">
        <x:f>IF(J72="","",J72-S72)</x:f>
      </x:c>
      <x:c r="U72" s="11"/>
    </x:row>
    <x:row r="73">
      <x:c r="A73" s="15"/>
      <x:c r="B73" s="11" t="str">
        <x:f>IF(A73="","",TEXT(A73,"yyyy-mm"))</x:f>
      </x:c>
      <x:c r="C73" s="11"/>
      <x:c r="D73" s="11"/>
      <x:c r="E73" s="11"/>
      <x:c r="F73" s="11"/>
      <x:c r="G73" s="11"/>
      <x:c r="H73" s="17"/>
      <x:c r="I73" s="17"/>
      <x:c r="J73" s="17" t="str">
        <x:f>IF(H73="","",H73*I73)</x:f>
      </x:c>
      <x:c r="K73" s="11"/>
      <x:c r="L73" s="17" t="n">
        <x:f>IF(OR(J73="",K73&lt;&gt;"VAT_APPLICABLE"),0,J73*0.1)</x:f>
        <x:v>0</x:v>
      </x:c>
      <x:c r="M73" s="17" t="str">
        <x:f>IF(J73="","",J73+L73)</x:f>
      </x:c>
      <x:c r="N73" s="11"/>
      <x:c r="O73" s="15"/>
      <x:c r="P73" s="15"/>
      <x:c r="Q73" s="11"/>
      <x:c r="R73" s="11"/>
      <x:c r="S73" s="17"/>
      <x:c r="T73" s="17" t="str">
        <x:f>IF(J73="","",J73-S73)</x:f>
      </x:c>
      <x:c r="U73" s="11"/>
    </x:row>
    <x:row r="74">
      <x:c r="A74" s="15"/>
      <x:c r="B74" s="11" t="str">
        <x:f>IF(A74="","",TEXT(A74,"yyyy-mm"))</x:f>
      </x:c>
      <x:c r="C74" s="11"/>
      <x:c r="D74" s="11"/>
      <x:c r="E74" s="11"/>
      <x:c r="F74" s="11"/>
      <x:c r="G74" s="11"/>
      <x:c r="H74" s="17"/>
      <x:c r="I74" s="17"/>
      <x:c r="J74" s="17" t="str">
        <x:f>IF(H74="","",H74*I74)</x:f>
      </x:c>
      <x:c r="K74" s="11"/>
      <x:c r="L74" s="17" t="n">
        <x:f>IF(OR(J74="",K74&lt;&gt;"VAT_APPLICABLE"),0,J74*0.1)</x:f>
        <x:v>0</x:v>
      </x:c>
      <x:c r="M74" s="17" t="str">
        <x:f>IF(J74="","",J74+L74)</x:f>
      </x:c>
      <x:c r="N74" s="11"/>
      <x:c r="O74" s="15"/>
      <x:c r="P74" s="15"/>
      <x:c r="Q74" s="11"/>
      <x:c r="R74" s="11"/>
      <x:c r="S74" s="17"/>
      <x:c r="T74" s="17" t="str">
        <x:f>IF(J74="","",J74-S74)</x:f>
      </x:c>
      <x:c r="U74" s="11"/>
    </x:row>
    <x:row r="75">
      <x:c r="A75" s="15"/>
      <x:c r="B75" s="11" t="str">
        <x:f>IF(A75="","",TEXT(A75,"yyyy-mm"))</x:f>
      </x:c>
      <x:c r="C75" s="11"/>
      <x:c r="D75" s="11"/>
      <x:c r="E75" s="11"/>
      <x:c r="F75" s="11"/>
      <x:c r="G75" s="11"/>
      <x:c r="H75" s="17"/>
      <x:c r="I75" s="17"/>
      <x:c r="J75" s="17" t="str">
        <x:f>IF(H75="","",H75*I75)</x:f>
      </x:c>
      <x:c r="K75" s="11"/>
      <x:c r="L75" s="17" t="n">
        <x:f>IF(OR(J75="",K75&lt;&gt;"VAT_APPLICABLE"),0,J75*0.1)</x:f>
        <x:v>0</x:v>
      </x:c>
      <x:c r="M75" s="17" t="str">
        <x:f>IF(J75="","",J75+L75)</x:f>
      </x:c>
      <x:c r="N75" s="11"/>
      <x:c r="O75" s="15"/>
      <x:c r="P75" s="15"/>
      <x:c r="Q75" s="11"/>
      <x:c r="R75" s="11"/>
      <x:c r="S75" s="17"/>
      <x:c r="T75" s="17" t="str">
        <x:f>IF(J75="","",J75-S75)</x:f>
      </x:c>
      <x:c r="U75" s="11"/>
    </x:row>
    <x:row r="76">
      <x:c r="A76" s="15"/>
      <x:c r="B76" s="11" t="str">
        <x:f>IF(A76="","",TEXT(A76,"yyyy-mm"))</x:f>
      </x:c>
      <x:c r="C76" s="11"/>
      <x:c r="D76" s="11"/>
      <x:c r="E76" s="11"/>
      <x:c r="F76" s="11"/>
      <x:c r="G76" s="11"/>
      <x:c r="H76" s="17"/>
      <x:c r="I76" s="17"/>
      <x:c r="J76" s="17" t="str">
        <x:f>IF(H76="","",H76*I76)</x:f>
      </x:c>
      <x:c r="K76" s="11"/>
      <x:c r="L76" s="17" t="n">
        <x:f>IF(OR(J76="",K76&lt;&gt;"VAT_APPLICABLE"),0,J76*0.1)</x:f>
        <x:v>0</x:v>
      </x:c>
      <x:c r="M76" s="17" t="str">
        <x:f>IF(J76="","",J76+L76)</x:f>
      </x:c>
      <x:c r="N76" s="11"/>
      <x:c r="O76" s="15"/>
      <x:c r="P76" s="15"/>
      <x:c r="Q76" s="11"/>
      <x:c r="R76" s="11"/>
      <x:c r="S76" s="17"/>
      <x:c r="T76" s="17" t="str">
        <x:f>IF(J76="","",J76-S76)</x:f>
      </x:c>
      <x:c r="U76" s="11"/>
    </x:row>
    <x:row r="77">
      <x:c r="A77" s="15"/>
      <x:c r="B77" s="11" t="str">
        <x:f>IF(A77="","",TEXT(A77,"yyyy-mm"))</x:f>
      </x:c>
      <x:c r="C77" s="11"/>
      <x:c r="D77" s="11"/>
      <x:c r="E77" s="11"/>
      <x:c r="F77" s="11"/>
      <x:c r="G77" s="11"/>
      <x:c r="H77" s="17"/>
      <x:c r="I77" s="17"/>
      <x:c r="J77" s="17" t="str">
        <x:f>IF(H77="","",H77*I77)</x:f>
      </x:c>
      <x:c r="K77" s="11"/>
      <x:c r="L77" s="17" t="n">
        <x:f>IF(OR(J77="",K77&lt;&gt;"VAT_APPLICABLE"),0,J77*0.1)</x:f>
        <x:v>0</x:v>
      </x:c>
      <x:c r="M77" s="17" t="str">
        <x:f>IF(J77="","",J77+L77)</x:f>
      </x:c>
      <x:c r="N77" s="11"/>
      <x:c r="O77" s="15"/>
      <x:c r="P77" s="15"/>
      <x:c r="Q77" s="11"/>
      <x:c r="R77" s="11"/>
      <x:c r="S77" s="17"/>
      <x:c r="T77" s="17" t="str">
        <x:f>IF(J77="","",J77-S77)</x:f>
      </x:c>
      <x:c r="U77" s="11"/>
    </x:row>
    <x:row r="78">
      <x:c r="A78" s="15"/>
      <x:c r="B78" s="11" t="str">
        <x:f>IF(A78="","",TEXT(A78,"yyyy-mm"))</x:f>
      </x:c>
      <x:c r="C78" s="11"/>
      <x:c r="D78" s="11"/>
      <x:c r="E78" s="11"/>
      <x:c r="F78" s="11"/>
      <x:c r="G78" s="11"/>
      <x:c r="H78" s="17"/>
      <x:c r="I78" s="17"/>
      <x:c r="J78" s="17" t="str">
        <x:f>IF(H78="","",H78*I78)</x:f>
      </x:c>
      <x:c r="K78" s="11"/>
      <x:c r="L78" s="17" t="n">
        <x:f>IF(OR(J78="",K78&lt;&gt;"VAT_APPLICABLE"),0,J78*0.1)</x:f>
        <x:v>0</x:v>
      </x:c>
      <x:c r="M78" s="17" t="str">
        <x:f>IF(J78="","",J78+L78)</x:f>
      </x:c>
      <x:c r="N78" s="11"/>
      <x:c r="O78" s="15"/>
      <x:c r="P78" s="15"/>
      <x:c r="Q78" s="11"/>
      <x:c r="R78" s="11"/>
      <x:c r="S78" s="17"/>
      <x:c r="T78" s="17" t="str">
        <x:f>IF(J78="","",J78-S78)</x:f>
      </x:c>
      <x:c r="U78" s="11"/>
    </x:row>
    <x:row r="79">
      <x:c r="A79" s="15"/>
      <x:c r="B79" s="11" t="str">
        <x:f>IF(A79="","",TEXT(A79,"yyyy-mm"))</x:f>
      </x:c>
      <x:c r="C79" s="11"/>
      <x:c r="D79" s="11"/>
      <x:c r="E79" s="11"/>
      <x:c r="F79" s="11"/>
      <x:c r="G79" s="11"/>
      <x:c r="H79" s="17"/>
      <x:c r="I79" s="17"/>
      <x:c r="J79" s="17" t="str">
        <x:f>IF(H79="","",H79*I79)</x:f>
      </x:c>
      <x:c r="K79" s="11"/>
      <x:c r="L79" s="17" t="n">
        <x:f>IF(OR(J79="",K79&lt;&gt;"VAT_APPLICABLE"),0,J79*0.1)</x:f>
        <x:v>0</x:v>
      </x:c>
      <x:c r="M79" s="17" t="str">
        <x:f>IF(J79="","",J79+L79)</x:f>
      </x:c>
      <x:c r="N79" s="11"/>
      <x:c r="O79" s="15"/>
      <x:c r="P79" s="15"/>
      <x:c r="Q79" s="11"/>
      <x:c r="R79" s="11"/>
      <x:c r="S79" s="17"/>
      <x:c r="T79" s="17" t="str">
        <x:f>IF(J79="","",J79-S79)</x:f>
      </x:c>
      <x:c r="U79" s="11"/>
    </x:row>
    <x:row r="80">
      <x:c r="A80" s="15"/>
      <x:c r="B80" s="11" t="str">
        <x:f>IF(A80="","",TEXT(A80,"yyyy-mm"))</x:f>
      </x:c>
      <x:c r="C80" s="11"/>
      <x:c r="D80" s="11"/>
      <x:c r="E80" s="11"/>
      <x:c r="F80" s="11"/>
      <x:c r="G80" s="11"/>
      <x:c r="H80" s="17"/>
      <x:c r="I80" s="17"/>
      <x:c r="J80" s="17" t="str">
        <x:f>IF(H80="","",H80*I80)</x:f>
      </x:c>
      <x:c r="K80" s="11"/>
      <x:c r="L80" s="17" t="n">
        <x:f>IF(OR(J80="",K80&lt;&gt;"VAT_APPLICABLE"),0,J80*0.1)</x:f>
        <x:v>0</x:v>
      </x:c>
      <x:c r="M80" s="17" t="str">
        <x:f>IF(J80="","",J80+L80)</x:f>
      </x:c>
      <x:c r="N80" s="11"/>
      <x:c r="O80" s="15"/>
      <x:c r="P80" s="15"/>
      <x:c r="Q80" s="11"/>
      <x:c r="R80" s="11"/>
      <x:c r="S80" s="17"/>
      <x:c r="T80" s="17" t="str">
        <x:f>IF(J80="","",J80-S80)</x:f>
      </x:c>
      <x:c r="U80" s="11"/>
    </x:row>
    <x:row r="81">
      <x:c r="A81" s="15"/>
      <x:c r="B81" s="11" t="str">
        <x:f>IF(A81="","",TEXT(A81,"yyyy-mm"))</x:f>
      </x:c>
      <x:c r="C81" s="11"/>
      <x:c r="D81" s="11"/>
      <x:c r="E81" s="11"/>
      <x:c r="F81" s="11"/>
      <x:c r="G81" s="11"/>
      <x:c r="H81" s="17"/>
      <x:c r="I81" s="17"/>
      <x:c r="J81" s="17" t="str">
        <x:f>IF(H81="","",H81*I81)</x:f>
      </x:c>
      <x:c r="K81" s="11"/>
      <x:c r="L81" s="17" t="n">
        <x:f>IF(OR(J81="",K81&lt;&gt;"VAT_APPLICABLE"),0,J81*0.1)</x:f>
        <x:v>0</x:v>
      </x:c>
      <x:c r="M81" s="17" t="str">
        <x:f>IF(J81="","",J81+L81)</x:f>
      </x:c>
      <x:c r="N81" s="11"/>
      <x:c r="O81" s="15"/>
      <x:c r="P81" s="15"/>
      <x:c r="Q81" s="11"/>
      <x:c r="R81" s="11"/>
      <x:c r="S81" s="17"/>
      <x:c r="T81" s="17" t="str">
        <x:f>IF(J81="","",J81-S81)</x:f>
      </x:c>
      <x:c r="U81" s="11"/>
    </x:row>
    <x:row r="82">
      <x:c r="A82" s="15"/>
      <x:c r="B82" s="11" t="str">
        <x:f>IF(A82="","",TEXT(A82,"yyyy-mm"))</x:f>
      </x:c>
      <x:c r="C82" s="11"/>
      <x:c r="D82" s="11"/>
      <x:c r="E82" s="11"/>
      <x:c r="F82" s="11"/>
      <x:c r="G82" s="11"/>
      <x:c r="H82" s="17"/>
      <x:c r="I82" s="17"/>
      <x:c r="J82" s="17" t="str">
        <x:f>IF(H82="","",H82*I82)</x:f>
      </x:c>
      <x:c r="K82" s="11"/>
      <x:c r="L82" s="17" t="n">
        <x:f>IF(OR(J82="",K82&lt;&gt;"VAT_APPLICABLE"),0,J82*0.1)</x:f>
        <x:v>0</x:v>
      </x:c>
      <x:c r="M82" s="17" t="str">
        <x:f>IF(J82="","",J82+L82)</x:f>
      </x:c>
      <x:c r="N82" s="11"/>
      <x:c r="O82" s="15"/>
      <x:c r="P82" s="15"/>
      <x:c r="Q82" s="11"/>
      <x:c r="R82" s="11"/>
      <x:c r="S82" s="17"/>
      <x:c r="T82" s="17" t="str">
        <x:f>IF(J82="","",J82-S82)</x:f>
      </x:c>
      <x:c r="U82" s="11"/>
    </x:row>
    <x:row r="83">
      <x:c r="A83" s="15"/>
      <x:c r="B83" s="11" t="str">
        <x:f>IF(A83="","",TEXT(A83,"yyyy-mm"))</x:f>
      </x:c>
      <x:c r="C83" s="11"/>
      <x:c r="D83" s="11"/>
      <x:c r="E83" s="11"/>
      <x:c r="F83" s="11"/>
      <x:c r="G83" s="11"/>
      <x:c r="H83" s="17"/>
      <x:c r="I83" s="17"/>
      <x:c r="J83" s="17" t="str">
        <x:f>IF(H83="","",H83*I83)</x:f>
      </x:c>
      <x:c r="K83" s="11"/>
      <x:c r="L83" s="17" t="n">
        <x:f>IF(OR(J83="",K83&lt;&gt;"VAT_APPLICABLE"),0,J83*0.1)</x:f>
        <x:v>0</x:v>
      </x:c>
      <x:c r="M83" s="17" t="str">
        <x:f>IF(J83="","",J83+L83)</x:f>
      </x:c>
      <x:c r="N83" s="11"/>
      <x:c r="O83" s="15"/>
      <x:c r="P83" s="15"/>
      <x:c r="Q83" s="11"/>
      <x:c r="R83" s="11"/>
      <x:c r="S83" s="17"/>
      <x:c r="T83" s="17" t="str">
        <x:f>IF(J83="","",J83-S83)</x:f>
      </x:c>
      <x:c r="U83" s="11"/>
    </x:row>
    <x:row r="84">
      <x:c r="A84" s="15"/>
      <x:c r="B84" s="11" t="str">
        <x:f>IF(A84="","",TEXT(A84,"yyyy-mm"))</x:f>
      </x:c>
      <x:c r="C84" s="11"/>
      <x:c r="D84" s="11"/>
      <x:c r="E84" s="11"/>
      <x:c r="F84" s="11"/>
      <x:c r="G84" s="11"/>
      <x:c r="H84" s="17"/>
      <x:c r="I84" s="17"/>
      <x:c r="J84" s="17" t="str">
        <x:f>IF(H84="","",H84*I84)</x:f>
      </x:c>
      <x:c r="K84" s="11"/>
      <x:c r="L84" s="17" t="n">
        <x:f>IF(OR(J84="",K84&lt;&gt;"VAT_APPLICABLE"),0,J84*0.1)</x:f>
        <x:v>0</x:v>
      </x:c>
      <x:c r="M84" s="17" t="str">
        <x:f>IF(J84="","",J84+L84)</x:f>
      </x:c>
      <x:c r="N84" s="11"/>
      <x:c r="O84" s="15"/>
      <x:c r="P84" s="15"/>
      <x:c r="Q84" s="11"/>
      <x:c r="R84" s="11"/>
      <x:c r="S84" s="17"/>
      <x:c r="T84" s="17" t="str">
        <x:f>IF(J84="","",J84-S84)</x:f>
      </x:c>
      <x:c r="U84" s="11"/>
    </x:row>
    <x:row r="85">
      <x:c r="A85" s="15"/>
      <x:c r="B85" s="11" t="str">
        <x:f>IF(A85="","",TEXT(A85,"yyyy-mm"))</x:f>
      </x:c>
      <x:c r="C85" s="11"/>
      <x:c r="D85" s="11"/>
      <x:c r="E85" s="11"/>
      <x:c r="F85" s="11"/>
      <x:c r="G85" s="11"/>
      <x:c r="H85" s="17"/>
      <x:c r="I85" s="17"/>
      <x:c r="J85" s="17" t="str">
        <x:f>IF(H85="","",H85*I85)</x:f>
      </x:c>
      <x:c r="K85" s="11"/>
      <x:c r="L85" s="17" t="n">
        <x:f>IF(OR(J85="",K85&lt;&gt;"VAT_APPLICABLE"),0,J85*0.1)</x:f>
        <x:v>0</x:v>
      </x:c>
      <x:c r="M85" s="17" t="str">
        <x:f>IF(J85="","",J85+L85)</x:f>
      </x:c>
      <x:c r="N85" s="11"/>
      <x:c r="O85" s="15"/>
      <x:c r="P85" s="15"/>
      <x:c r="Q85" s="11"/>
      <x:c r="R85" s="11"/>
      <x:c r="S85" s="17"/>
      <x:c r="T85" s="17" t="str">
        <x:f>IF(J85="","",J85-S85)</x:f>
      </x:c>
      <x:c r="U85" s="11"/>
    </x:row>
    <x:row r="86">
      <x:c r="A86" s="15"/>
      <x:c r="B86" s="11" t="str">
        <x:f>IF(A86="","",TEXT(A86,"yyyy-mm"))</x:f>
      </x:c>
      <x:c r="C86" s="11"/>
      <x:c r="D86" s="11"/>
      <x:c r="E86" s="11"/>
      <x:c r="F86" s="11"/>
      <x:c r="G86" s="11"/>
      <x:c r="H86" s="17"/>
      <x:c r="I86" s="17"/>
      <x:c r="J86" s="17" t="str">
        <x:f>IF(H86="","",H86*I86)</x:f>
      </x:c>
      <x:c r="K86" s="11"/>
      <x:c r="L86" s="17" t="n">
        <x:f>IF(OR(J86="",K86&lt;&gt;"VAT_APPLICABLE"),0,J86*0.1)</x:f>
        <x:v>0</x:v>
      </x:c>
      <x:c r="M86" s="17" t="str">
        <x:f>IF(J86="","",J86+L86)</x:f>
      </x:c>
      <x:c r="N86" s="11"/>
      <x:c r="O86" s="15"/>
      <x:c r="P86" s="15"/>
      <x:c r="Q86" s="11"/>
      <x:c r="R86" s="11"/>
      <x:c r="S86" s="17"/>
      <x:c r="T86" s="17" t="str">
        <x:f>IF(J86="","",J86-S86)</x:f>
      </x:c>
      <x:c r="U86" s="11"/>
    </x:row>
    <x:row r="87">
      <x:c r="A87" s="15"/>
      <x:c r="B87" s="11" t="str">
        <x:f>IF(A87="","",TEXT(A87,"yyyy-mm"))</x:f>
      </x:c>
      <x:c r="C87" s="11"/>
      <x:c r="D87" s="11"/>
      <x:c r="E87" s="11"/>
      <x:c r="F87" s="11"/>
      <x:c r="G87" s="11"/>
      <x:c r="H87" s="17"/>
      <x:c r="I87" s="17"/>
      <x:c r="J87" s="17" t="str">
        <x:f>IF(H87="","",H87*I87)</x:f>
      </x:c>
      <x:c r="K87" s="11"/>
      <x:c r="L87" s="17" t="n">
        <x:f>IF(OR(J87="",K87&lt;&gt;"VAT_APPLICABLE"),0,J87*0.1)</x:f>
        <x:v>0</x:v>
      </x:c>
      <x:c r="M87" s="17" t="str">
        <x:f>IF(J87="","",J87+L87)</x:f>
      </x:c>
      <x:c r="N87" s="11"/>
      <x:c r="O87" s="15"/>
      <x:c r="P87" s="15"/>
      <x:c r="Q87" s="11"/>
      <x:c r="R87" s="11"/>
      <x:c r="S87" s="17"/>
      <x:c r="T87" s="17" t="str">
        <x:f>IF(J87="","",J87-S87)</x:f>
      </x:c>
      <x:c r="U87" s="11"/>
    </x:row>
    <x:row r="88">
      <x:c r="A88" s="15"/>
      <x:c r="B88" s="11" t="str">
        <x:f>IF(A88="","",TEXT(A88,"yyyy-mm"))</x:f>
      </x:c>
      <x:c r="C88" s="11"/>
      <x:c r="D88" s="11"/>
      <x:c r="E88" s="11"/>
      <x:c r="F88" s="11"/>
      <x:c r="G88" s="11"/>
      <x:c r="H88" s="17"/>
      <x:c r="I88" s="17"/>
      <x:c r="J88" s="17" t="str">
        <x:f>IF(H88="","",H88*I88)</x:f>
      </x:c>
      <x:c r="K88" s="11"/>
      <x:c r="L88" s="17" t="n">
        <x:f>IF(OR(J88="",K88&lt;&gt;"VAT_APPLICABLE"),0,J88*0.1)</x:f>
        <x:v>0</x:v>
      </x:c>
      <x:c r="M88" s="17" t="str">
        <x:f>IF(J88="","",J88+L88)</x:f>
      </x:c>
      <x:c r="N88" s="11"/>
      <x:c r="O88" s="15"/>
      <x:c r="P88" s="15"/>
      <x:c r="Q88" s="11"/>
      <x:c r="R88" s="11"/>
      <x:c r="S88" s="17"/>
      <x:c r="T88" s="17" t="str">
        <x:f>IF(J88="","",J88-S88)</x:f>
      </x:c>
      <x:c r="U88" s="11"/>
    </x:row>
    <x:row r="89">
      <x:c r="A89" s="15"/>
      <x:c r="B89" s="11" t="str">
        <x:f>IF(A89="","",TEXT(A89,"yyyy-mm"))</x:f>
      </x:c>
      <x:c r="C89" s="11"/>
      <x:c r="D89" s="11"/>
      <x:c r="E89" s="11"/>
      <x:c r="F89" s="11"/>
      <x:c r="G89" s="11"/>
      <x:c r="H89" s="17"/>
      <x:c r="I89" s="17"/>
      <x:c r="J89" s="17" t="str">
        <x:f>IF(H89="","",H89*I89)</x:f>
      </x:c>
      <x:c r="K89" s="11"/>
      <x:c r="L89" s="17" t="n">
        <x:f>IF(OR(J89="",K89&lt;&gt;"VAT_APPLICABLE"),0,J89*0.1)</x:f>
        <x:v>0</x:v>
      </x:c>
      <x:c r="M89" s="17" t="str">
        <x:f>IF(J89="","",J89+L89)</x:f>
      </x:c>
      <x:c r="N89" s="11"/>
      <x:c r="O89" s="15"/>
      <x:c r="P89" s="15"/>
      <x:c r="Q89" s="11"/>
      <x:c r="R89" s="11"/>
      <x:c r="S89" s="17"/>
      <x:c r="T89" s="17" t="str">
        <x:f>IF(J89="","",J89-S89)</x:f>
      </x:c>
      <x:c r="U89" s="11"/>
    </x:row>
    <x:row r="90">
      <x:c r="A90" s="15"/>
      <x:c r="B90" s="11" t="str">
        <x:f>IF(A90="","",TEXT(A90,"yyyy-mm"))</x:f>
      </x:c>
      <x:c r="C90" s="11"/>
      <x:c r="D90" s="11"/>
      <x:c r="E90" s="11"/>
      <x:c r="F90" s="11"/>
      <x:c r="G90" s="11"/>
      <x:c r="H90" s="17"/>
      <x:c r="I90" s="17"/>
      <x:c r="J90" s="17" t="str">
        <x:f>IF(H90="","",H90*I90)</x:f>
      </x:c>
      <x:c r="K90" s="11"/>
      <x:c r="L90" s="17" t="n">
        <x:f>IF(OR(J90="",K90&lt;&gt;"VAT_APPLICABLE"),0,J90*0.1)</x:f>
        <x:v>0</x:v>
      </x:c>
      <x:c r="M90" s="17" t="str">
        <x:f>IF(J90="","",J90+L90)</x:f>
      </x:c>
      <x:c r="N90" s="11"/>
      <x:c r="O90" s="15"/>
      <x:c r="P90" s="15"/>
      <x:c r="Q90" s="11"/>
      <x:c r="R90" s="11"/>
      <x:c r="S90" s="17"/>
      <x:c r="T90" s="17" t="str">
        <x:f>IF(J90="","",J90-S90)</x:f>
      </x:c>
      <x:c r="U90" s="11"/>
    </x:row>
    <x:row r="91">
      <x:c r="A91" s="15"/>
      <x:c r="B91" s="11" t="str">
        <x:f>IF(A91="","",TEXT(A91,"yyyy-mm"))</x:f>
      </x:c>
      <x:c r="C91" s="11"/>
      <x:c r="D91" s="11"/>
      <x:c r="E91" s="11"/>
      <x:c r="F91" s="11"/>
      <x:c r="G91" s="11"/>
      <x:c r="H91" s="17"/>
      <x:c r="I91" s="17"/>
      <x:c r="J91" s="17" t="str">
        <x:f>IF(H91="","",H91*I91)</x:f>
      </x:c>
      <x:c r="K91" s="11"/>
      <x:c r="L91" s="17" t="n">
        <x:f>IF(OR(J91="",K91&lt;&gt;"VAT_APPLICABLE"),0,J91*0.1)</x:f>
        <x:v>0</x:v>
      </x:c>
      <x:c r="M91" s="17" t="str">
        <x:f>IF(J91="","",J91+L91)</x:f>
      </x:c>
      <x:c r="N91" s="11"/>
      <x:c r="O91" s="15"/>
      <x:c r="P91" s="15"/>
      <x:c r="Q91" s="11"/>
      <x:c r="R91" s="11"/>
      <x:c r="S91" s="17"/>
      <x:c r="T91" s="17" t="str">
        <x:f>IF(J91="","",J91-S91)</x:f>
      </x:c>
      <x:c r="U91" s="11"/>
    </x:row>
    <x:row r="92">
      <x:c r="A92" s="15"/>
      <x:c r="B92" s="11" t="str">
        <x:f>IF(A92="","",TEXT(A92,"yyyy-mm"))</x:f>
      </x:c>
      <x:c r="C92" s="11"/>
      <x:c r="D92" s="11"/>
      <x:c r="E92" s="11"/>
      <x:c r="F92" s="11"/>
      <x:c r="G92" s="11"/>
      <x:c r="H92" s="17"/>
      <x:c r="I92" s="17"/>
      <x:c r="J92" s="17" t="str">
        <x:f>IF(H92="","",H92*I92)</x:f>
      </x:c>
      <x:c r="K92" s="11"/>
      <x:c r="L92" s="17" t="n">
        <x:f>IF(OR(J92="",K92&lt;&gt;"VAT_APPLICABLE"),0,J92*0.1)</x:f>
        <x:v>0</x:v>
      </x:c>
      <x:c r="M92" s="17" t="str">
        <x:f>IF(J92="","",J92+L92)</x:f>
      </x:c>
      <x:c r="N92" s="11"/>
      <x:c r="O92" s="15"/>
      <x:c r="P92" s="15"/>
      <x:c r="Q92" s="11"/>
      <x:c r="R92" s="11"/>
      <x:c r="S92" s="17"/>
      <x:c r="T92" s="17" t="str">
        <x:f>IF(J92="","",J92-S92)</x:f>
      </x:c>
      <x:c r="U92" s="11"/>
    </x:row>
    <x:row r="93">
      <x:c r="A93" s="15"/>
      <x:c r="B93" s="11" t="str">
        <x:f>IF(A93="","",TEXT(A93,"yyyy-mm"))</x:f>
      </x:c>
      <x:c r="C93" s="11"/>
      <x:c r="D93" s="11"/>
      <x:c r="E93" s="11"/>
      <x:c r="F93" s="11"/>
      <x:c r="G93" s="11"/>
      <x:c r="H93" s="17"/>
      <x:c r="I93" s="17"/>
      <x:c r="J93" s="17" t="str">
        <x:f>IF(H93="","",H93*I93)</x:f>
      </x:c>
      <x:c r="K93" s="11"/>
      <x:c r="L93" s="17" t="n">
        <x:f>IF(OR(J93="",K93&lt;&gt;"VAT_APPLICABLE"),0,J93*0.1)</x:f>
        <x:v>0</x:v>
      </x:c>
      <x:c r="M93" s="17" t="str">
        <x:f>IF(J93="","",J93+L93)</x:f>
      </x:c>
      <x:c r="N93" s="11"/>
      <x:c r="O93" s="15"/>
      <x:c r="P93" s="15"/>
      <x:c r="Q93" s="11"/>
      <x:c r="R93" s="11"/>
      <x:c r="S93" s="17"/>
      <x:c r="T93" s="17" t="str">
        <x:f>IF(J93="","",J93-S93)</x:f>
      </x:c>
      <x:c r="U93" s="11"/>
    </x:row>
    <x:row r="94">
      <x:c r="A94" s="15"/>
      <x:c r="B94" s="11" t="str">
        <x:f>IF(A94="","",TEXT(A94,"yyyy-mm"))</x:f>
      </x:c>
      <x:c r="C94" s="11"/>
      <x:c r="D94" s="11"/>
      <x:c r="E94" s="11"/>
      <x:c r="F94" s="11"/>
      <x:c r="G94" s="11"/>
      <x:c r="H94" s="17"/>
      <x:c r="I94" s="17"/>
      <x:c r="J94" s="17" t="str">
        <x:f>IF(H94="","",H94*I94)</x:f>
      </x:c>
      <x:c r="K94" s="11"/>
      <x:c r="L94" s="17" t="n">
        <x:f>IF(OR(J94="",K94&lt;&gt;"VAT_APPLICABLE"),0,J94*0.1)</x:f>
        <x:v>0</x:v>
      </x:c>
      <x:c r="M94" s="17" t="str">
        <x:f>IF(J94="","",J94+L94)</x:f>
      </x:c>
      <x:c r="N94" s="11"/>
      <x:c r="O94" s="15"/>
      <x:c r="P94" s="15"/>
      <x:c r="Q94" s="11"/>
      <x:c r="R94" s="11"/>
      <x:c r="S94" s="17"/>
      <x:c r="T94" s="17" t="str">
        <x:f>IF(J94="","",J94-S94)</x:f>
      </x:c>
      <x:c r="U94" s="11"/>
    </x:row>
    <x:row r="95">
      <x:c r="A95" s="15"/>
      <x:c r="B95" s="11" t="str">
        <x:f>IF(A95="","",TEXT(A95,"yyyy-mm"))</x:f>
      </x:c>
      <x:c r="C95" s="11"/>
      <x:c r="D95" s="11"/>
      <x:c r="E95" s="11"/>
      <x:c r="F95" s="11"/>
      <x:c r="G95" s="11"/>
      <x:c r="H95" s="17"/>
      <x:c r="I95" s="17"/>
      <x:c r="J95" s="17" t="str">
        <x:f>IF(H95="","",H95*I95)</x:f>
      </x:c>
      <x:c r="K95" s="11"/>
      <x:c r="L95" s="17" t="n">
        <x:f>IF(OR(J95="",K95&lt;&gt;"VAT_APPLICABLE"),0,J95*0.1)</x:f>
        <x:v>0</x:v>
      </x:c>
      <x:c r="M95" s="17" t="str">
        <x:f>IF(J95="","",J95+L95)</x:f>
      </x:c>
      <x:c r="N95" s="11"/>
      <x:c r="O95" s="15"/>
      <x:c r="P95" s="15"/>
      <x:c r="Q95" s="11"/>
      <x:c r="R95" s="11"/>
      <x:c r="S95" s="17"/>
      <x:c r="T95" s="17" t="str">
        <x:f>IF(J95="","",J95-S95)</x:f>
      </x:c>
      <x:c r="U95" s="11"/>
    </x:row>
    <x:row r="96">
      <x:c r="A96" s="15"/>
      <x:c r="B96" s="11" t="str">
        <x:f>IF(A96="","",TEXT(A96,"yyyy-mm"))</x:f>
      </x:c>
      <x:c r="C96" s="11"/>
      <x:c r="D96" s="11"/>
      <x:c r="E96" s="11"/>
      <x:c r="F96" s="11"/>
      <x:c r="G96" s="11"/>
      <x:c r="H96" s="17"/>
      <x:c r="I96" s="17"/>
      <x:c r="J96" s="17" t="str">
        <x:f>IF(H96="","",H96*I96)</x:f>
      </x:c>
      <x:c r="K96" s="11"/>
      <x:c r="L96" s="17" t="n">
        <x:f>IF(OR(J96="",K96&lt;&gt;"VAT_APPLICABLE"),0,J96*0.1)</x:f>
        <x:v>0</x:v>
      </x:c>
      <x:c r="M96" s="17" t="str">
        <x:f>IF(J96="","",J96+L96)</x:f>
      </x:c>
      <x:c r="N96" s="11"/>
      <x:c r="O96" s="15"/>
      <x:c r="P96" s="15"/>
      <x:c r="Q96" s="11"/>
      <x:c r="R96" s="11"/>
      <x:c r="S96" s="17"/>
      <x:c r="T96" s="17" t="str">
        <x:f>IF(J96="","",J96-S96)</x:f>
      </x:c>
      <x:c r="U96" s="11"/>
    </x:row>
    <x:row r="97">
      <x:c r="A97" s="15"/>
      <x:c r="B97" s="11" t="str">
        <x:f>IF(A97="","",TEXT(A97,"yyyy-mm"))</x:f>
      </x:c>
      <x:c r="C97" s="11"/>
      <x:c r="D97" s="11"/>
      <x:c r="E97" s="11"/>
      <x:c r="F97" s="11"/>
      <x:c r="G97" s="11"/>
      <x:c r="H97" s="17"/>
      <x:c r="I97" s="17"/>
      <x:c r="J97" s="17" t="str">
        <x:f>IF(H97="","",H97*I97)</x:f>
      </x:c>
      <x:c r="K97" s="11"/>
      <x:c r="L97" s="17" t="n">
        <x:f>IF(OR(J97="",K97&lt;&gt;"VAT_APPLICABLE"),0,J97*0.1)</x:f>
        <x:v>0</x:v>
      </x:c>
      <x:c r="M97" s="17" t="str">
        <x:f>IF(J97="","",J97+L97)</x:f>
      </x:c>
      <x:c r="N97" s="11"/>
      <x:c r="O97" s="15"/>
      <x:c r="P97" s="15"/>
      <x:c r="Q97" s="11"/>
      <x:c r="R97" s="11"/>
      <x:c r="S97" s="17"/>
      <x:c r="T97" s="17" t="str">
        <x:f>IF(J97="","",J97-S97)</x:f>
      </x:c>
      <x:c r="U97" s="11"/>
    </x:row>
    <x:row r="98">
      <x:c r="A98" s="15"/>
      <x:c r="B98" s="11" t="str">
        <x:f>IF(A98="","",TEXT(A98,"yyyy-mm"))</x:f>
      </x:c>
      <x:c r="C98" s="11"/>
      <x:c r="D98" s="11"/>
      <x:c r="E98" s="11"/>
      <x:c r="F98" s="11"/>
      <x:c r="G98" s="11"/>
      <x:c r="H98" s="17"/>
      <x:c r="I98" s="17"/>
      <x:c r="J98" s="17" t="str">
        <x:f>IF(H98="","",H98*I98)</x:f>
      </x:c>
      <x:c r="K98" s="11"/>
      <x:c r="L98" s="17" t="n">
        <x:f>IF(OR(J98="",K98&lt;&gt;"VAT_APPLICABLE"),0,J98*0.1)</x:f>
        <x:v>0</x:v>
      </x:c>
      <x:c r="M98" s="17" t="str">
        <x:f>IF(J98="","",J98+L98)</x:f>
      </x:c>
      <x:c r="N98" s="11"/>
      <x:c r="O98" s="15"/>
      <x:c r="P98" s="15"/>
      <x:c r="Q98" s="11"/>
      <x:c r="R98" s="11"/>
      <x:c r="S98" s="17"/>
      <x:c r="T98" s="17" t="str">
        <x:f>IF(J98="","",J98-S98)</x:f>
      </x:c>
      <x:c r="U98" s="11"/>
    </x:row>
    <x:row r="99">
      <x:c r="A99" s="15"/>
      <x:c r="B99" s="11" t="str">
        <x:f>IF(A99="","",TEXT(A99,"yyyy-mm"))</x:f>
      </x:c>
      <x:c r="C99" s="11"/>
      <x:c r="D99" s="11"/>
      <x:c r="E99" s="11"/>
      <x:c r="F99" s="11"/>
      <x:c r="G99" s="11"/>
      <x:c r="H99" s="17"/>
      <x:c r="I99" s="17"/>
      <x:c r="J99" s="17" t="str">
        <x:f>IF(H99="","",H99*I99)</x:f>
      </x:c>
      <x:c r="K99" s="11"/>
      <x:c r="L99" s="17" t="n">
        <x:f>IF(OR(J99="",K99&lt;&gt;"VAT_APPLICABLE"),0,J99*0.1)</x:f>
        <x:v>0</x:v>
      </x:c>
      <x:c r="M99" s="17" t="str">
        <x:f>IF(J99="","",J99+L99)</x:f>
      </x:c>
      <x:c r="N99" s="11"/>
      <x:c r="O99" s="15"/>
      <x:c r="P99" s="15"/>
      <x:c r="Q99" s="11"/>
      <x:c r="R99" s="11"/>
      <x:c r="S99" s="17"/>
      <x:c r="T99" s="17" t="str">
        <x:f>IF(J99="","",J99-S99)</x:f>
      </x:c>
      <x:c r="U99" s="11"/>
    </x:row>
    <x:row r="100">
      <x:c r="A100" s="15"/>
      <x:c r="B100" s="11" t="str">
        <x:f>IF(A100="","",TEXT(A100,"yyyy-mm"))</x:f>
      </x:c>
      <x:c r="C100" s="11"/>
      <x:c r="D100" s="11"/>
      <x:c r="E100" s="11"/>
      <x:c r="F100" s="11"/>
      <x:c r="G100" s="11"/>
      <x:c r="H100" s="17"/>
      <x:c r="I100" s="17"/>
      <x:c r="J100" s="17" t="str">
        <x:f>IF(H100="","",H100*I100)</x:f>
      </x:c>
      <x:c r="K100" s="11"/>
      <x:c r="L100" s="17" t="n">
        <x:f>IF(OR(J100="",K100&lt;&gt;"VAT_APPLICABLE"),0,J100*0.1)</x:f>
        <x:v>0</x:v>
      </x:c>
      <x:c r="M100" s="17" t="str">
        <x:f>IF(J100="","",J100+L100)</x:f>
      </x:c>
      <x:c r="N100" s="11"/>
      <x:c r="O100" s="15"/>
      <x:c r="P100" s="15"/>
      <x:c r="Q100" s="11"/>
      <x:c r="R100" s="11"/>
      <x:c r="S100" s="17"/>
      <x:c r="T100" s="17" t="str">
        <x:f>IF(J100="","",J100-S100)</x:f>
      </x:c>
      <x:c r="U100" s="11"/>
    </x:row>
    <x:row r="101">
      <x:c r="A101" s="15"/>
      <x:c r="B101" s="11" t="str">
        <x:f>IF(A101="","",TEXT(A101,"yyyy-mm"))</x:f>
      </x:c>
      <x:c r="C101" s="11"/>
      <x:c r="D101" s="11"/>
      <x:c r="E101" s="11"/>
      <x:c r="F101" s="11"/>
      <x:c r="G101" s="11"/>
      <x:c r="H101" s="17"/>
      <x:c r="I101" s="17"/>
      <x:c r="J101" s="17" t="str">
        <x:f>IF(H101="","",H101*I101)</x:f>
      </x:c>
      <x:c r="K101" s="11"/>
      <x:c r="L101" s="17" t="n">
        <x:f>IF(OR(J101="",K101&lt;&gt;"VAT_APPLICABLE"),0,J101*0.1)</x:f>
        <x:v>0</x:v>
      </x:c>
      <x:c r="M101" s="17" t="str">
        <x:f>IF(J101="","",J101+L101)</x:f>
      </x:c>
      <x:c r="N101" s="11"/>
      <x:c r="O101" s="15"/>
      <x:c r="P101" s="15"/>
      <x:c r="Q101" s="11"/>
      <x:c r="R101" s="11"/>
      <x:c r="S101" s="17"/>
      <x:c r="T101" s="17" t="str">
        <x:f>IF(J101="","",J101-S101)</x:f>
      </x:c>
      <x:c r="U101" s="11"/>
    </x:row>
    <x:row r="102">
      <x:c r="A102" s="15"/>
      <x:c r="B102" s="11" t="str">
        <x:f>IF(A102="","",TEXT(A102,"yyyy-mm"))</x:f>
      </x:c>
      <x:c r="C102" s="11"/>
      <x:c r="D102" s="11"/>
      <x:c r="E102" s="11"/>
      <x:c r="F102" s="11"/>
      <x:c r="G102" s="11"/>
      <x:c r="H102" s="17"/>
      <x:c r="I102" s="17"/>
      <x:c r="J102" s="17" t="str">
        <x:f>IF(H102="","",H102*I102)</x:f>
      </x:c>
      <x:c r="K102" s="11"/>
      <x:c r="L102" s="17" t="n">
        <x:f>IF(OR(J102="",K102&lt;&gt;"VAT_APPLICABLE"),0,J102*0.1)</x:f>
        <x:v>0</x:v>
      </x:c>
      <x:c r="M102" s="17" t="str">
        <x:f>IF(J102="","",J102+L102)</x:f>
      </x:c>
      <x:c r="N102" s="11"/>
      <x:c r="O102" s="15"/>
      <x:c r="P102" s="15"/>
      <x:c r="Q102" s="11"/>
      <x:c r="R102" s="11"/>
      <x:c r="S102" s="17"/>
      <x:c r="T102" s="17" t="str">
        <x:f>IF(J102="","",J102-S102)</x:f>
      </x:c>
      <x:c r="U102" s="11"/>
    </x:row>
    <x:row r="103">
      <x:c r="A103" s="15"/>
      <x:c r="B103" s="11" t="str">
        <x:f>IF(A103="","",TEXT(A103,"yyyy-mm"))</x:f>
      </x:c>
      <x:c r="C103" s="11"/>
      <x:c r="D103" s="11"/>
      <x:c r="E103" s="11"/>
      <x:c r="F103" s="11"/>
      <x:c r="G103" s="11"/>
      <x:c r="H103" s="17"/>
      <x:c r="I103" s="17"/>
      <x:c r="J103" s="17" t="str">
        <x:f>IF(H103="","",H103*I103)</x:f>
      </x:c>
      <x:c r="K103" s="11"/>
      <x:c r="L103" s="17" t="n">
        <x:f>IF(OR(J103="",K103&lt;&gt;"VAT_APPLICABLE"),0,J103*0.1)</x:f>
        <x:v>0</x:v>
      </x:c>
      <x:c r="M103" s="17" t="str">
        <x:f>IF(J103="","",J103+L103)</x:f>
      </x:c>
      <x:c r="N103" s="11"/>
      <x:c r="O103" s="15"/>
      <x:c r="P103" s="15"/>
      <x:c r="Q103" s="11"/>
      <x:c r="R103" s="11"/>
      <x:c r="S103" s="17"/>
      <x:c r="T103" s="17" t="str">
        <x:f>IF(J103="","",J103-S103)</x:f>
      </x:c>
      <x:c r="U103" s="11"/>
    </x:row>
    <x:row r="104">
      <x:c r="A104" s="15"/>
      <x:c r="B104" s="11" t="str">
        <x:f>IF(A104="","",TEXT(A104,"yyyy-mm"))</x:f>
      </x:c>
      <x:c r="C104" s="11"/>
      <x:c r="D104" s="11"/>
      <x:c r="E104" s="11"/>
      <x:c r="F104" s="11"/>
      <x:c r="G104" s="11"/>
      <x:c r="H104" s="17"/>
      <x:c r="I104" s="17"/>
      <x:c r="J104" s="17" t="str">
        <x:f>IF(H104="","",H104*I104)</x:f>
      </x:c>
      <x:c r="K104" s="11"/>
      <x:c r="L104" s="17" t="n">
        <x:f>IF(OR(J104="",K104&lt;&gt;"VAT_APPLICABLE"),0,J104*0.1)</x:f>
        <x:v>0</x:v>
      </x:c>
      <x:c r="M104" s="17" t="str">
        <x:f>IF(J104="","",J104+L104)</x:f>
      </x:c>
      <x:c r="N104" s="11"/>
      <x:c r="O104" s="15"/>
      <x:c r="P104" s="15"/>
      <x:c r="Q104" s="11"/>
      <x:c r="R104" s="11"/>
      <x:c r="S104" s="17"/>
      <x:c r="T104" s="17" t="str">
        <x:f>IF(J104="","",J104-S104)</x:f>
      </x:c>
      <x:c r="U104" s="11"/>
    </x:row>
    <x:row r="105">
      <x:c r="A105" s="15"/>
      <x:c r="B105" s="11" t="str">
        <x:f>IF(A105="","",TEXT(A105,"yyyy-mm"))</x:f>
      </x:c>
      <x:c r="C105" s="11"/>
      <x:c r="D105" s="11"/>
      <x:c r="E105" s="11"/>
      <x:c r="F105" s="11"/>
      <x:c r="G105" s="11"/>
      <x:c r="H105" s="17"/>
      <x:c r="I105" s="17"/>
      <x:c r="J105" s="17" t="str">
        <x:f>IF(H105="","",H105*I105)</x:f>
      </x:c>
      <x:c r="K105" s="11"/>
      <x:c r="L105" s="17" t="n">
        <x:f>IF(OR(J105="",K105&lt;&gt;"VAT_APPLICABLE"),0,J105*0.1)</x:f>
        <x:v>0</x:v>
      </x:c>
      <x:c r="M105" s="17" t="str">
        <x:f>IF(J105="","",J105+L105)</x:f>
      </x:c>
      <x:c r="N105" s="11"/>
      <x:c r="O105" s="15"/>
      <x:c r="P105" s="15"/>
      <x:c r="Q105" s="11"/>
      <x:c r="R105" s="11"/>
      <x:c r="S105" s="17"/>
      <x:c r="T105" s="17" t="str">
        <x:f>IF(J105="","",J105-S105)</x:f>
      </x:c>
      <x:c r="U105" s="11"/>
    </x:row>
    <x:row r="106">
      <x:c r="A106" s="15"/>
      <x:c r="B106" s="11" t="str">
        <x:f>IF(A106="","",TEXT(A106,"yyyy-mm"))</x:f>
      </x:c>
      <x:c r="C106" s="11"/>
      <x:c r="D106" s="11"/>
      <x:c r="E106" s="11"/>
      <x:c r="F106" s="11"/>
      <x:c r="G106" s="11"/>
      <x:c r="H106" s="17"/>
      <x:c r="I106" s="17"/>
      <x:c r="J106" s="17" t="str">
        <x:f>IF(H106="","",H106*I106)</x:f>
      </x:c>
      <x:c r="K106" s="11"/>
      <x:c r="L106" s="17" t="n">
        <x:f>IF(OR(J106="",K106&lt;&gt;"VAT_APPLICABLE"),0,J106*0.1)</x:f>
        <x:v>0</x:v>
      </x:c>
      <x:c r="M106" s="17" t="str">
        <x:f>IF(J106="","",J106+L106)</x:f>
      </x:c>
      <x:c r="N106" s="11"/>
      <x:c r="O106" s="15"/>
      <x:c r="P106" s="15"/>
      <x:c r="Q106" s="11"/>
      <x:c r="R106" s="11"/>
      <x:c r="S106" s="17"/>
      <x:c r="T106" s="17" t="str">
        <x:f>IF(J106="","",J106-S106)</x:f>
      </x:c>
      <x:c r="U106" s="11"/>
    </x:row>
    <x:row r="107">
      <x:c r="A107" s="15"/>
      <x:c r="B107" s="11" t="str">
        <x:f>IF(A107="","",TEXT(A107,"yyyy-mm"))</x:f>
      </x:c>
      <x:c r="C107" s="11"/>
      <x:c r="D107" s="11"/>
      <x:c r="E107" s="11"/>
      <x:c r="F107" s="11"/>
      <x:c r="G107" s="11"/>
      <x:c r="H107" s="17"/>
      <x:c r="I107" s="17"/>
      <x:c r="J107" s="17" t="str">
        <x:f>IF(H107="","",H107*I107)</x:f>
      </x:c>
      <x:c r="K107" s="11"/>
      <x:c r="L107" s="17" t="n">
        <x:f>IF(OR(J107="",K107&lt;&gt;"VAT_APPLICABLE"),0,J107*0.1)</x:f>
        <x:v>0</x:v>
      </x:c>
      <x:c r="M107" s="17" t="str">
        <x:f>IF(J107="","",J107+L107)</x:f>
      </x:c>
      <x:c r="N107" s="11"/>
      <x:c r="O107" s="15"/>
      <x:c r="P107" s="15"/>
      <x:c r="Q107" s="11"/>
      <x:c r="R107" s="11"/>
      <x:c r="S107" s="17"/>
      <x:c r="T107" s="17" t="str">
        <x:f>IF(J107="","",J107-S107)</x:f>
      </x:c>
      <x:c r="U107" s="11"/>
    </x:row>
    <x:row r="108">
      <x:c r="A108" s="15"/>
      <x:c r="B108" s="11" t="str">
        <x:f>IF(A108="","",TEXT(A108,"yyyy-mm"))</x:f>
      </x:c>
      <x:c r="C108" s="11"/>
      <x:c r="D108" s="11"/>
      <x:c r="E108" s="11"/>
      <x:c r="F108" s="11"/>
      <x:c r="G108" s="11"/>
      <x:c r="H108" s="17"/>
      <x:c r="I108" s="17"/>
      <x:c r="J108" s="17" t="str">
        <x:f>IF(H108="","",H108*I108)</x:f>
      </x:c>
      <x:c r="K108" s="11"/>
      <x:c r="L108" s="17" t="n">
        <x:f>IF(OR(J108="",K108&lt;&gt;"VAT_APPLICABLE"),0,J108*0.1)</x:f>
        <x:v>0</x:v>
      </x:c>
      <x:c r="M108" s="17" t="str">
        <x:f>IF(J108="","",J108+L108)</x:f>
      </x:c>
      <x:c r="N108" s="11"/>
      <x:c r="O108" s="15"/>
      <x:c r="P108" s="15"/>
      <x:c r="Q108" s="11"/>
      <x:c r="R108" s="11"/>
      <x:c r="S108" s="17"/>
      <x:c r="T108" s="17" t="str">
        <x:f>IF(J108="","",J108-S108)</x:f>
      </x:c>
      <x:c r="U108" s="11"/>
    </x:row>
    <x:row r="109">
      <x:c r="A109" s="15"/>
      <x:c r="B109" s="11" t="str">
        <x:f>IF(A109="","",TEXT(A109,"yyyy-mm"))</x:f>
      </x:c>
      <x:c r="C109" s="11"/>
      <x:c r="D109" s="11"/>
      <x:c r="E109" s="11"/>
      <x:c r="F109" s="11"/>
      <x:c r="G109" s="11"/>
      <x:c r="H109" s="17"/>
      <x:c r="I109" s="17"/>
      <x:c r="J109" s="17" t="str">
        <x:f>IF(H109="","",H109*I109)</x:f>
      </x:c>
      <x:c r="K109" s="11"/>
      <x:c r="L109" s="17" t="n">
        <x:f>IF(OR(J109="",K109&lt;&gt;"VAT_APPLICABLE"),0,J109*0.1)</x:f>
        <x:v>0</x:v>
      </x:c>
      <x:c r="M109" s="17" t="str">
        <x:f>IF(J109="","",J109+L109)</x:f>
      </x:c>
      <x:c r="N109" s="11"/>
      <x:c r="O109" s="15"/>
      <x:c r="P109" s="15"/>
      <x:c r="Q109" s="11"/>
      <x:c r="R109" s="11"/>
      <x:c r="S109" s="17"/>
      <x:c r="T109" s="17" t="str">
        <x:f>IF(J109="","",J109-S109)</x:f>
      </x:c>
      <x:c r="U109" s="11"/>
    </x:row>
    <x:row r="110">
      <x:c r="A110" s="15"/>
      <x:c r="B110" s="11" t="str">
        <x:f>IF(A110="","",TEXT(A110,"yyyy-mm"))</x:f>
      </x:c>
      <x:c r="C110" s="11"/>
      <x:c r="D110" s="11"/>
      <x:c r="E110" s="11"/>
      <x:c r="F110" s="11"/>
      <x:c r="G110" s="11"/>
      <x:c r="H110" s="17"/>
      <x:c r="I110" s="17"/>
      <x:c r="J110" s="17" t="str">
        <x:f>IF(H110="","",H110*I110)</x:f>
      </x:c>
      <x:c r="K110" s="11"/>
      <x:c r="L110" s="17" t="n">
        <x:f>IF(OR(J110="",K110&lt;&gt;"VAT_APPLICABLE"),0,J110*0.1)</x:f>
        <x:v>0</x:v>
      </x:c>
      <x:c r="M110" s="17" t="str">
        <x:f>IF(J110="","",J110+L110)</x:f>
      </x:c>
      <x:c r="N110" s="11"/>
      <x:c r="O110" s="15"/>
      <x:c r="P110" s="15"/>
      <x:c r="Q110" s="11"/>
      <x:c r="R110" s="11"/>
      <x:c r="S110" s="17"/>
      <x:c r="T110" s="17" t="str">
        <x:f>IF(J110="","",J110-S110)</x:f>
      </x:c>
      <x:c r="U110" s="11"/>
    </x:row>
    <x:row r="111">
      <x:c r="A111" s="15"/>
      <x:c r="B111" s="11" t="str">
        <x:f>IF(A111="","",TEXT(A111,"yyyy-mm"))</x:f>
      </x:c>
      <x:c r="C111" s="11"/>
      <x:c r="D111" s="11"/>
      <x:c r="E111" s="11"/>
      <x:c r="F111" s="11"/>
      <x:c r="G111" s="11"/>
      <x:c r="H111" s="17"/>
      <x:c r="I111" s="17"/>
      <x:c r="J111" s="17" t="str">
        <x:f>IF(H111="","",H111*I111)</x:f>
      </x:c>
      <x:c r="K111" s="11"/>
      <x:c r="L111" s="17" t="n">
        <x:f>IF(OR(J111="",K111&lt;&gt;"VAT_APPLICABLE"),0,J111*0.1)</x:f>
        <x:v>0</x:v>
      </x:c>
      <x:c r="M111" s="17" t="str">
        <x:f>IF(J111="","",J111+L111)</x:f>
      </x:c>
      <x:c r="N111" s="11"/>
      <x:c r="O111" s="15"/>
      <x:c r="P111" s="15"/>
      <x:c r="Q111" s="11"/>
      <x:c r="R111" s="11"/>
      <x:c r="S111" s="17"/>
      <x:c r="T111" s="17" t="str">
        <x:f>IF(J111="","",J111-S111)</x:f>
      </x:c>
      <x:c r="U111" s="11"/>
    </x:row>
    <x:row r="112">
      <x:c r="A112" s="15"/>
      <x:c r="B112" s="11" t="str">
        <x:f>IF(A112="","",TEXT(A112,"yyyy-mm"))</x:f>
      </x:c>
      <x:c r="C112" s="11"/>
      <x:c r="D112" s="11"/>
      <x:c r="E112" s="11"/>
      <x:c r="F112" s="11"/>
      <x:c r="G112" s="11"/>
      <x:c r="H112" s="17"/>
      <x:c r="I112" s="17"/>
      <x:c r="J112" s="17" t="str">
        <x:f>IF(H112="","",H112*I112)</x:f>
      </x:c>
      <x:c r="K112" s="11"/>
      <x:c r="L112" s="17" t="n">
        <x:f>IF(OR(J112="",K112&lt;&gt;"VAT_APPLICABLE"),0,J112*0.1)</x:f>
        <x:v>0</x:v>
      </x:c>
      <x:c r="M112" s="17" t="str">
        <x:f>IF(J112="","",J112+L112)</x:f>
      </x:c>
      <x:c r="N112" s="11"/>
      <x:c r="O112" s="15"/>
      <x:c r="P112" s="15"/>
      <x:c r="Q112" s="11"/>
      <x:c r="R112" s="11"/>
      <x:c r="S112" s="17"/>
      <x:c r="T112" s="17" t="str">
        <x:f>IF(J112="","",J112-S112)</x:f>
      </x:c>
      <x:c r="U112" s="11"/>
    </x:row>
    <x:row r="113">
      <x:c r="A113" s="15"/>
      <x:c r="B113" s="11" t="str">
        <x:f>IF(A113="","",TEXT(A113,"yyyy-mm"))</x:f>
      </x:c>
      <x:c r="C113" s="11"/>
      <x:c r="D113" s="11"/>
      <x:c r="E113" s="11"/>
      <x:c r="F113" s="11"/>
      <x:c r="G113" s="11"/>
      <x:c r="H113" s="17"/>
      <x:c r="I113" s="17"/>
      <x:c r="J113" s="17" t="str">
        <x:f>IF(H113="","",H113*I113)</x:f>
      </x:c>
      <x:c r="K113" s="11"/>
      <x:c r="L113" s="17" t="n">
        <x:f>IF(OR(J113="",K113&lt;&gt;"VAT_APPLICABLE"),0,J113*0.1)</x:f>
        <x:v>0</x:v>
      </x:c>
      <x:c r="M113" s="17" t="str">
        <x:f>IF(J113="","",J113+L113)</x:f>
      </x:c>
      <x:c r="N113" s="11"/>
      <x:c r="O113" s="15"/>
      <x:c r="P113" s="15"/>
      <x:c r="Q113" s="11"/>
      <x:c r="R113" s="11"/>
      <x:c r="S113" s="17"/>
      <x:c r="T113" s="17" t="str">
        <x:f>IF(J113="","",J113-S113)</x:f>
      </x:c>
      <x:c r="U113" s="11"/>
    </x:row>
    <x:row r="114">
      <x:c r="A114" s="15"/>
      <x:c r="B114" s="11" t="str">
        <x:f>IF(A114="","",TEXT(A114,"yyyy-mm"))</x:f>
      </x:c>
      <x:c r="C114" s="11"/>
      <x:c r="D114" s="11"/>
      <x:c r="E114" s="11"/>
      <x:c r="F114" s="11"/>
      <x:c r="G114" s="11"/>
      <x:c r="H114" s="17"/>
      <x:c r="I114" s="17"/>
      <x:c r="J114" s="17" t="str">
        <x:f>IF(H114="","",H114*I114)</x:f>
      </x:c>
      <x:c r="K114" s="11"/>
      <x:c r="L114" s="17" t="n">
        <x:f>IF(OR(J114="",K114&lt;&gt;"VAT_APPLICABLE"),0,J114*0.1)</x:f>
        <x:v>0</x:v>
      </x:c>
      <x:c r="M114" s="17" t="str">
        <x:f>IF(J114="","",J114+L114)</x:f>
      </x:c>
      <x:c r="N114" s="11"/>
      <x:c r="O114" s="15"/>
      <x:c r="P114" s="15"/>
      <x:c r="Q114" s="11"/>
      <x:c r="R114" s="11"/>
      <x:c r="S114" s="17"/>
      <x:c r="T114" s="17" t="str">
        <x:f>IF(J114="","",J114-S114)</x:f>
      </x:c>
      <x:c r="U114" s="11"/>
    </x:row>
    <x:row r="115">
      <x:c r="A115" s="15"/>
      <x:c r="B115" s="11" t="str">
        <x:f>IF(A115="","",TEXT(A115,"yyyy-mm"))</x:f>
      </x:c>
      <x:c r="C115" s="11"/>
      <x:c r="D115" s="11"/>
      <x:c r="E115" s="11"/>
      <x:c r="F115" s="11"/>
      <x:c r="G115" s="11"/>
      <x:c r="H115" s="17"/>
      <x:c r="I115" s="17"/>
      <x:c r="J115" s="17" t="str">
        <x:f>IF(H115="","",H115*I115)</x:f>
      </x:c>
      <x:c r="K115" s="11"/>
      <x:c r="L115" s="17" t="n">
        <x:f>IF(OR(J115="",K115&lt;&gt;"VAT_APPLICABLE"),0,J115*0.1)</x:f>
        <x:v>0</x:v>
      </x:c>
      <x:c r="M115" s="17" t="str">
        <x:f>IF(J115="","",J115+L115)</x:f>
      </x:c>
      <x:c r="N115" s="11"/>
      <x:c r="O115" s="15"/>
      <x:c r="P115" s="15"/>
      <x:c r="Q115" s="11"/>
      <x:c r="R115" s="11"/>
      <x:c r="S115" s="17"/>
      <x:c r="T115" s="17" t="str">
        <x:f>IF(J115="","",J115-S115)</x:f>
      </x:c>
      <x:c r="U115" s="11"/>
    </x:row>
    <x:row r="116">
      <x:c r="A116" s="15"/>
      <x:c r="B116" s="11" t="str">
        <x:f>IF(A116="","",TEXT(A116,"yyyy-mm"))</x:f>
      </x:c>
      <x:c r="C116" s="11"/>
      <x:c r="D116" s="11"/>
      <x:c r="E116" s="11"/>
      <x:c r="F116" s="11"/>
      <x:c r="G116" s="11"/>
      <x:c r="H116" s="17"/>
      <x:c r="I116" s="17"/>
      <x:c r="J116" s="17" t="str">
        <x:f>IF(H116="","",H116*I116)</x:f>
      </x:c>
      <x:c r="K116" s="11"/>
      <x:c r="L116" s="17" t="n">
        <x:f>IF(OR(J116="",K116&lt;&gt;"VAT_APPLICABLE"),0,J116*0.1)</x:f>
        <x:v>0</x:v>
      </x:c>
      <x:c r="M116" s="17" t="str">
        <x:f>IF(J116="","",J116+L116)</x:f>
      </x:c>
      <x:c r="N116" s="11"/>
      <x:c r="O116" s="15"/>
      <x:c r="P116" s="15"/>
      <x:c r="Q116" s="11"/>
      <x:c r="R116" s="11"/>
      <x:c r="S116" s="17"/>
      <x:c r="T116" s="17" t="str">
        <x:f>IF(J116="","",J116-S116)</x:f>
      </x:c>
      <x:c r="U116" s="11"/>
    </x:row>
    <x:row r="117">
      <x:c r="A117" s="15"/>
      <x:c r="B117" s="11" t="str">
        <x:f>IF(A117="","",TEXT(A117,"yyyy-mm"))</x:f>
      </x:c>
      <x:c r="C117" s="11"/>
      <x:c r="D117" s="11"/>
      <x:c r="E117" s="11"/>
      <x:c r="F117" s="11"/>
      <x:c r="G117" s="11"/>
      <x:c r="H117" s="17"/>
      <x:c r="I117" s="17"/>
      <x:c r="J117" s="17" t="str">
        <x:f>IF(H117="","",H117*I117)</x:f>
      </x:c>
      <x:c r="K117" s="11"/>
      <x:c r="L117" s="17" t="n">
        <x:f>IF(OR(J117="",K117&lt;&gt;"VAT_APPLICABLE"),0,J117*0.1)</x:f>
        <x:v>0</x:v>
      </x:c>
      <x:c r="M117" s="17" t="str">
        <x:f>IF(J117="","",J117+L117)</x:f>
      </x:c>
      <x:c r="N117" s="11"/>
      <x:c r="O117" s="15"/>
      <x:c r="P117" s="15"/>
      <x:c r="Q117" s="11"/>
      <x:c r="R117" s="11"/>
      <x:c r="S117" s="17"/>
      <x:c r="T117" s="17" t="str">
        <x:f>IF(J117="","",J117-S117)</x:f>
      </x:c>
      <x:c r="U117" s="11"/>
    </x:row>
    <x:row r="118">
      <x:c r="A118" s="15"/>
      <x:c r="B118" s="11" t="str">
        <x:f>IF(A118="","",TEXT(A118,"yyyy-mm"))</x:f>
      </x:c>
      <x:c r="C118" s="11"/>
      <x:c r="D118" s="11"/>
      <x:c r="E118" s="11"/>
      <x:c r="F118" s="11"/>
      <x:c r="G118" s="11"/>
      <x:c r="H118" s="17"/>
      <x:c r="I118" s="17"/>
      <x:c r="J118" s="17" t="str">
        <x:f>IF(H118="","",H118*I118)</x:f>
      </x:c>
      <x:c r="K118" s="11"/>
      <x:c r="L118" s="17" t="n">
        <x:f>IF(OR(J118="",K118&lt;&gt;"VAT_APPLICABLE"),0,J118*0.1)</x:f>
        <x:v>0</x:v>
      </x:c>
      <x:c r="M118" s="17" t="str">
        <x:f>IF(J118="","",J118+L118)</x:f>
      </x:c>
      <x:c r="N118" s="11"/>
      <x:c r="O118" s="15"/>
      <x:c r="P118" s="15"/>
      <x:c r="Q118" s="11"/>
      <x:c r="R118" s="11"/>
      <x:c r="S118" s="17"/>
      <x:c r="T118" s="17" t="str">
        <x:f>IF(J118="","",J118-S118)</x:f>
      </x:c>
      <x:c r="U118" s="11"/>
    </x:row>
    <x:row r="119">
      <x:c r="A119" s="15"/>
      <x:c r="B119" s="11" t="str">
        <x:f>IF(A119="","",TEXT(A119,"yyyy-mm"))</x:f>
      </x:c>
      <x:c r="C119" s="11"/>
      <x:c r="D119" s="11"/>
      <x:c r="E119" s="11"/>
      <x:c r="F119" s="11"/>
      <x:c r="G119" s="11"/>
      <x:c r="H119" s="17"/>
      <x:c r="I119" s="17"/>
      <x:c r="J119" s="17" t="str">
        <x:f>IF(H119="","",H119*I119)</x:f>
      </x:c>
      <x:c r="K119" s="11"/>
      <x:c r="L119" s="17" t="n">
        <x:f>IF(OR(J119="",K119&lt;&gt;"VAT_APPLICABLE"),0,J119*0.1)</x:f>
        <x:v>0</x:v>
      </x:c>
      <x:c r="M119" s="17" t="str">
        <x:f>IF(J119="","",J119+L119)</x:f>
      </x:c>
      <x:c r="N119" s="11"/>
      <x:c r="O119" s="15"/>
      <x:c r="P119" s="15"/>
      <x:c r="Q119" s="11"/>
      <x:c r="R119" s="11"/>
      <x:c r="S119" s="17"/>
      <x:c r="T119" s="17" t="str">
        <x:f>IF(J119="","",J119-S119)</x:f>
      </x:c>
      <x:c r="U119" s="11"/>
    </x:row>
    <x:row r="120">
      <x:c r="A120" s="15"/>
      <x:c r="B120" s="11" t="str">
        <x:f>IF(A120="","",TEXT(A120,"yyyy-mm"))</x:f>
      </x:c>
      <x:c r="C120" s="11"/>
      <x:c r="D120" s="11"/>
      <x:c r="E120" s="11"/>
      <x:c r="F120" s="11"/>
      <x:c r="G120" s="11"/>
      <x:c r="H120" s="17"/>
      <x:c r="I120" s="17"/>
      <x:c r="J120" s="17" t="str">
        <x:f>IF(H120="","",H120*I120)</x:f>
      </x:c>
      <x:c r="K120" s="11"/>
      <x:c r="L120" s="17" t="n">
        <x:f>IF(OR(J120="",K120&lt;&gt;"VAT_APPLICABLE"),0,J120*0.1)</x:f>
        <x:v>0</x:v>
      </x:c>
      <x:c r="M120" s="17" t="str">
        <x:f>IF(J120="","",J120+L120)</x:f>
      </x:c>
      <x:c r="N120" s="11"/>
      <x:c r="O120" s="15"/>
      <x:c r="P120" s="15"/>
      <x:c r="Q120" s="11"/>
      <x:c r="R120" s="11"/>
      <x:c r="S120" s="17"/>
      <x:c r="T120" s="17" t="str">
        <x:f>IF(J120="","",J120-S120)</x:f>
      </x:c>
      <x:c r="U120" s="11"/>
    </x:row>
    <x:row r="121">
      <x:c r="A121" s="15"/>
      <x:c r="B121" s="11" t="str">
        <x:f>IF(A121="","",TEXT(A121,"yyyy-mm"))</x:f>
      </x:c>
      <x:c r="C121" s="11"/>
      <x:c r="D121" s="11"/>
      <x:c r="E121" s="11"/>
      <x:c r="F121" s="11"/>
      <x:c r="G121" s="11"/>
      <x:c r="H121" s="17"/>
      <x:c r="I121" s="17"/>
      <x:c r="J121" s="17" t="str">
        <x:f>IF(H121="","",H121*I121)</x:f>
      </x:c>
      <x:c r="K121" s="11"/>
      <x:c r="L121" s="17" t="n">
        <x:f>IF(OR(J121="",K121&lt;&gt;"VAT_APPLICABLE"),0,J121*0.1)</x:f>
        <x:v>0</x:v>
      </x:c>
      <x:c r="M121" s="17" t="str">
        <x:f>IF(J121="","",J121+L121)</x:f>
      </x:c>
      <x:c r="N121" s="11"/>
      <x:c r="O121" s="15"/>
      <x:c r="P121" s="15"/>
      <x:c r="Q121" s="11"/>
      <x:c r="R121" s="11"/>
      <x:c r="S121" s="17"/>
      <x:c r="T121" s="17" t="str">
        <x:f>IF(J121="","",J121-S121)</x:f>
      </x:c>
      <x:c r="U121" s="11"/>
    </x:row>
    <x:row r="122">
      <x:c r="A122" s="15"/>
      <x:c r="B122" s="11" t="str">
        <x:f>IF(A122="","",TEXT(A122,"yyyy-mm"))</x:f>
      </x:c>
      <x:c r="C122" s="11"/>
      <x:c r="D122" s="11"/>
      <x:c r="E122" s="11"/>
      <x:c r="F122" s="11"/>
      <x:c r="G122" s="11"/>
      <x:c r="H122" s="17"/>
      <x:c r="I122" s="17"/>
      <x:c r="J122" s="17" t="str">
        <x:f>IF(H122="","",H122*I122)</x:f>
      </x:c>
      <x:c r="K122" s="11"/>
      <x:c r="L122" s="17" t="n">
        <x:f>IF(OR(J122="",K122&lt;&gt;"VAT_APPLICABLE"),0,J122*0.1)</x:f>
        <x:v>0</x:v>
      </x:c>
      <x:c r="M122" s="17" t="str">
        <x:f>IF(J122="","",J122+L122)</x:f>
      </x:c>
      <x:c r="N122" s="11"/>
      <x:c r="O122" s="15"/>
      <x:c r="P122" s="15"/>
      <x:c r="Q122" s="11"/>
      <x:c r="R122" s="11"/>
      <x:c r="S122" s="17"/>
      <x:c r="T122" s="17" t="str">
        <x:f>IF(J122="","",J122-S122)</x:f>
      </x:c>
      <x:c r="U122" s="11"/>
    </x:row>
    <x:row r="123">
      <x:c r="A123" s="15"/>
      <x:c r="B123" s="11" t="str">
        <x:f>IF(A123="","",TEXT(A123,"yyyy-mm"))</x:f>
      </x:c>
      <x:c r="C123" s="11"/>
      <x:c r="D123" s="11"/>
      <x:c r="E123" s="11"/>
      <x:c r="F123" s="11"/>
      <x:c r="G123" s="11"/>
      <x:c r="H123" s="17"/>
      <x:c r="I123" s="17"/>
      <x:c r="J123" s="17" t="str">
        <x:f>IF(H123="","",H123*I123)</x:f>
      </x:c>
      <x:c r="K123" s="11"/>
      <x:c r="L123" s="17" t="n">
        <x:f>IF(OR(J123="",K123&lt;&gt;"VAT_APPLICABLE"),0,J123*0.1)</x:f>
        <x:v>0</x:v>
      </x:c>
      <x:c r="M123" s="17" t="str">
        <x:f>IF(J123="","",J123+L123)</x:f>
      </x:c>
      <x:c r="N123" s="11"/>
      <x:c r="O123" s="15"/>
      <x:c r="P123" s="15"/>
      <x:c r="Q123" s="11"/>
      <x:c r="R123" s="11"/>
      <x:c r="S123" s="17"/>
      <x:c r="T123" s="17" t="str">
        <x:f>IF(J123="","",J123-S123)</x:f>
      </x:c>
      <x:c r="U123" s="11"/>
    </x:row>
    <x:row r="124">
      <x:c r="A124" s="15"/>
      <x:c r="B124" s="11" t="str">
        <x:f>IF(A124="","",TEXT(A124,"yyyy-mm"))</x:f>
      </x:c>
      <x:c r="C124" s="11"/>
      <x:c r="D124" s="11"/>
      <x:c r="E124" s="11"/>
      <x:c r="F124" s="11"/>
      <x:c r="G124" s="11"/>
      <x:c r="H124" s="17"/>
      <x:c r="I124" s="17"/>
      <x:c r="J124" s="17" t="str">
        <x:f>IF(H124="","",H124*I124)</x:f>
      </x:c>
      <x:c r="K124" s="11"/>
      <x:c r="L124" s="17" t="n">
        <x:f>IF(OR(J124="",K124&lt;&gt;"VAT_APPLICABLE"),0,J124*0.1)</x:f>
        <x:v>0</x:v>
      </x:c>
      <x:c r="M124" s="17" t="str">
        <x:f>IF(J124="","",J124+L124)</x:f>
      </x:c>
      <x:c r="N124" s="11"/>
      <x:c r="O124" s="15"/>
      <x:c r="P124" s="15"/>
      <x:c r="Q124" s="11"/>
      <x:c r="R124" s="11"/>
      <x:c r="S124" s="17"/>
      <x:c r="T124" s="17" t="str">
        <x:f>IF(J124="","",J124-S124)</x:f>
      </x:c>
      <x:c r="U124" s="11"/>
    </x:row>
    <x:row r="125">
      <x:c r="A125" s="15"/>
      <x:c r="B125" s="11" t="str">
        <x:f>IF(A125="","",TEXT(A125,"yyyy-mm"))</x:f>
      </x:c>
      <x:c r="C125" s="11"/>
      <x:c r="D125" s="11"/>
      <x:c r="E125" s="11"/>
      <x:c r="F125" s="11"/>
      <x:c r="G125" s="11"/>
      <x:c r="H125" s="17"/>
      <x:c r="I125" s="17"/>
      <x:c r="J125" s="17" t="str">
        <x:f>IF(H125="","",H125*I125)</x:f>
      </x:c>
      <x:c r="K125" s="11"/>
      <x:c r="L125" s="17" t="n">
        <x:f>IF(OR(J125="",K125&lt;&gt;"VAT_APPLICABLE"),0,J125*0.1)</x:f>
        <x:v>0</x:v>
      </x:c>
      <x:c r="M125" s="17" t="str">
        <x:f>IF(J125="","",J125+L125)</x:f>
      </x:c>
      <x:c r="N125" s="11"/>
      <x:c r="O125" s="15"/>
      <x:c r="P125" s="15"/>
      <x:c r="Q125" s="11"/>
      <x:c r="R125" s="11"/>
      <x:c r="S125" s="17"/>
      <x:c r="T125" s="17" t="str">
        <x:f>IF(J125="","",J125-S125)</x:f>
      </x:c>
      <x:c r="U125" s="11"/>
    </x:row>
    <x:row r="126">
      <x:c r="A126" s="15"/>
      <x:c r="B126" s="11" t="str">
        <x:f>IF(A126="","",TEXT(A126,"yyyy-mm"))</x:f>
      </x:c>
      <x:c r="C126" s="11"/>
      <x:c r="D126" s="11"/>
      <x:c r="E126" s="11"/>
      <x:c r="F126" s="11"/>
      <x:c r="G126" s="11"/>
      <x:c r="H126" s="17"/>
      <x:c r="I126" s="17"/>
      <x:c r="J126" s="17" t="str">
        <x:f>IF(H126="","",H126*I126)</x:f>
      </x:c>
      <x:c r="K126" s="11"/>
      <x:c r="L126" s="17" t="n">
        <x:f>IF(OR(J126="",K126&lt;&gt;"VAT_APPLICABLE"),0,J126*0.1)</x:f>
        <x:v>0</x:v>
      </x:c>
      <x:c r="M126" s="17" t="str">
        <x:f>IF(J126="","",J126+L126)</x:f>
      </x:c>
      <x:c r="N126" s="11"/>
      <x:c r="O126" s="15"/>
      <x:c r="P126" s="15"/>
      <x:c r="Q126" s="11"/>
      <x:c r="R126" s="11"/>
      <x:c r="S126" s="17"/>
      <x:c r="T126" s="17" t="str">
        <x:f>IF(J126="","",J126-S126)</x:f>
      </x:c>
      <x:c r="U126" s="11"/>
    </x:row>
    <x:row r="127">
      <x:c r="A127" s="15"/>
      <x:c r="B127" s="11" t="str">
        <x:f>IF(A127="","",TEXT(A127,"yyyy-mm"))</x:f>
      </x:c>
      <x:c r="C127" s="11"/>
      <x:c r="D127" s="11"/>
      <x:c r="E127" s="11"/>
      <x:c r="F127" s="11"/>
      <x:c r="G127" s="11"/>
      <x:c r="H127" s="17"/>
      <x:c r="I127" s="17"/>
      <x:c r="J127" s="17" t="str">
        <x:f>IF(H127="","",H127*I127)</x:f>
      </x:c>
      <x:c r="K127" s="11"/>
      <x:c r="L127" s="17" t="n">
        <x:f>IF(OR(J127="",K127&lt;&gt;"VAT_APPLICABLE"),0,J127*0.1)</x:f>
        <x:v>0</x:v>
      </x:c>
      <x:c r="M127" s="17" t="str">
        <x:f>IF(J127="","",J127+L127)</x:f>
      </x:c>
      <x:c r="N127" s="11"/>
      <x:c r="O127" s="15"/>
      <x:c r="P127" s="15"/>
      <x:c r="Q127" s="11"/>
      <x:c r="R127" s="11"/>
      <x:c r="S127" s="17"/>
      <x:c r="T127" s="17" t="str">
        <x:f>IF(J127="","",J127-S127)</x:f>
      </x:c>
      <x:c r="U127" s="11"/>
    </x:row>
    <x:row r="128">
      <x:c r="A128" s="15"/>
      <x:c r="B128" s="11" t="str">
        <x:f>IF(A128="","",TEXT(A128,"yyyy-mm"))</x:f>
      </x:c>
      <x:c r="C128" s="11"/>
      <x:c r="D128" s="11"/>
      <x:c r="E128" s="11"/>
      <x:c r="F128" s="11"/>
      <x:c r="G128" s="11"/>
      <x:c r="H128" s="17"/>
      <x:c r="I128" s="17"/>
      <x:c r="J128" s="17" t="str">
        <x:f>IF(H128="","",H128*I128)</x:f>
      </x:c>
      <x:c r="K128" s="11"/>
      <x:c r="L128" s="17" t="n">
        <x:f>IF(OR(J128="",K128&lt;&gt;"VAT_APPLICABLE"),0,J128*0.1)</x:f>
        <x:v>0</x:v>
      </x:c>
      <x:c r="M128" s="17" t="str">
        <x:f>IF(J128="","",J128+L128)</x:f>
      </x:c>
      <x:c r="N128" s="11"/>
      <x:c r="O128" s="15"/>
      <x:c r="P128" s="15"/>
      <x:c r="Q128" s="11"/>
      <x:c r="R128" s="11"/>
      <x:c r="S128" s="17"/>
      <x:c r="T128" s="17" t="str">
        <x:f>IF(J128="","",J128-S128)</x:f>
      </x:c>
      <x:c r="U128" s="11"/>
    </x:row>
    <x:row r="129">
      <x:c r="A129" s="15"/>
      <x:c r="B129" s="11" t="str">
        <x:f>IF(A129="","",TEXT(A129,"yyyy-mm"))</x:f>
      </x:c>
      <x:c r="C129" s="11"/>
      <x:c r="D129" s="11"/>
      <x:c r="E129" s="11"/>
      <x:c r="F129" s="11"/>
      <x:c r="G129" s="11"/>
      <x:c r="H129" s="17"/>
      <x:c r="I129" s="17"/>
      <x:c r="J129" s="17" t="str">
        <x:f>IF(H129="","",H129*I129)</x:f>
      </x:c>
      <x:c r="K129" s="11"/>
      <x:c r="L129" s="17" t="n">
        <x:f>IF(OR(J129="",K129&lt;&gt;"VAT_APPLICABLE"),0,J129*0.1)</x:f>
        <x:v>0</x:v>
      </x:c>
      <x:c r="M129" s="17" t="str">
        <x:f>IF(J129="","",J129+L129)</x:f>
      </x:c>
      <x:c r="N129" s="11"/>
      <x:c r="O129" s="15"/>
      <x:c r="P129" s="15"/>
      <x:c r="Q129" s="11"/>
      <x:c r="R129" s="11"/>
      <x:c r="S129" s="17"/>
      <x:c r="T129" s="17" t="str">
        <x:f>IF(J129="","",J129-S129)</x:f>
      </x:c>
      <x:c r="U129" s="11"/>
    </x:row>
    <x:row r="130">
      <x:c r="A130" s="15"/>
      <x:c r="B130" s="11" t="str">
        <x:f>IF(A130="","",TEXT(A130,"yyyy-mm"))</x:f>
      </x:c>
      <x:c r="C130" s="11"/>
      <x:c r="D130" s="11"/>
      <x:c r="E130" s="11"/>
      <x:c r="F130" s="11"/>
      <x:c r="G130" s="11"/>
      <x:c r="H130" s="17"/>
      <x:c r="I130" s="17"/>
      <x:c r="J130" s="17" t="str">
        <x:f>IF(H130="","",H130*I130)</x:f>
      </x:c>
      <x:c r="K130" s="11"/>
      <x:c r="L130" s="17" t="n">
        <x:f>IF(OR(J130="",K130&lt;&gt;"VAT_APPLICABLE"),0,J130*0.1)</x:f>
        <x:v>0</x:v>
      </x:c>
      <x:c r="M130" s="17" t="str">
        <x:f>IF(J130="","",J130+L130)</x:f>
      </x:c>
      <x:c r="N130" s="11"/>
      <x:c r="O130" s="15"/>
      <x:c r="P130" s="15"/>
      <x:c r="Q130" s="11"/>
      <x:c r="R130" s="11"/>
      <x:c r="S130" s="17"/>
      <x:c r="T130" s="17" t="str">
        <x:f>IF(J130="","",J130-S130)</x:f>
      </x:c>
      <x:c r="U130" s="11"/>
    </x:row>
    <x:row r="131">
      <x:c r="A131" s="15"/>
      <x:c r="B131" s="11" t="str">
        <x:f>IF(A131="","",TEXT(A131,"yyyy-mm"))</x:f>
      </x:c>
      <x:c r="C131" s="11"/>
      <x:c r="D131" s="11"/>
      <x:c r="E131" s="11"/>
      <x:c r="F131" s="11"/>
      <x:c r="G131" s="11"/>
      <x:c r="H131" s="17"/>
      <x:c r="I131" s="17"/>
      <x:c r="J131" s="17" t="str">
        <x:f>IF(H131="","",H131*I131)</x:f>
      </x:c>
      <x:c r="K131" s="11"/>
      <x:c r="L131" s="17" t="n">
        <x:f>IF(OR(J131="",K131&lt;&gt;"VAT_APPLICABLE"),0,J131*0.1)</x:f>
        <x:v>0</x:v>
      </x:c>
      <x:c r="M131" s="17" t="str">
        <x:f>IF(J131="","",J131+L131)</x:f>
      </x:c>
      <x:c r="N131" s="11"/>
      <x:c r="O131" s="15"/>
      <x:c r="P131" s="15"/>
      <x:c r="Q131" s="11"/>
      <x:c r="R131" s="11"/>
      <x:c r="S131" s="17"/>
      <x:c r="T131" s="17" t="str">
        <x:f>IF(J131="","",J131-S131)</x:f>
      </x:c>
      <x:c r="U131" s="11"/>
    </x:row>
    <x:row r="132">
      <x:c r="A132" s="15"/>
      <x:c r="B132" s="11" t="str">
        <x:f>IF(A132="","",TEXT(A132,"yyyy-mm"))</x:f>
      </x:c>
      <x:c r="C132" s="11"/>
      <x:c r="D132" s="11"/>
      <x:c r="E132" s="11"/>
      <x:c r="F132" s="11"/>
      <x:c r="G132" s="11"/>
      <x:c r="H132" s="17"/>
      <x:c r="I132" s="17"/>
      <x:c r="J132" s="17" t="str">
        <x:f>IF(H132="","",H132*I132)</x:f>
      </x:c>
      <x:c r="K132" s="11"/>
      <x:c r="L132" s="17" t="n">
        <x:f>IF(OR(J132="",K132&lt;&gt;"VAT_APPLICABLE"),0,J132*0.1)</x:f>
        <x:v>0</x:v>
      </x:c>
      <x:c r="M132" s="17" t="str">
        <x:f>IF(J132="","",J132+L132)</x:f>
      </x:c>
      <x:c r="N132" s="11"/>
      <x:c r="O132" s="15"/>
      <x:c r="P132" s="15"/>
      <x:c r="Q132" s="11"/>
      <x:c r="R132" s="11"/>
      <x:c r="S132" s="17"/>
      <x:c r="T132" s="17" t="str">
        <x:f>IF(J132="","",J132-S132)</x:f>
      </x:c>
      <x:c r="U132" s="11"/>
    </x:row>
    <x:row r="133">
      <x:c r="A133" s="15"/>
      <x:c r="B133" s="11" t="str">
        <x:f>IF(A133="","",TEXT(A133,"yyyy-mm"))</x:f>
      </x:c>
      <x:c r="C133" s="11"/>
      <x:c r="D133" s="11"/>
      <x:c r="E133" s="11"/>
      <x:c r="F133" s="11"/>
      <x:c r="G133" s="11"/>
      <x:c r="H133" s="17"/>
      <x:c r="I133" s="17"/>
      <x:c r="J133" s="17" t="str">
        <x:f>IF(H133="","",H133*I133)</x:f>
      </x:c>
      <x:c r="K133" s="11"/>
      <x:c r="L133" s="17" t="n">
        <x:f>IF(OR(J133="",K133&lt;&gt;"VAT_APPLICABLE"),0,J133*0.1)</x:f>
        <x:v>0</x:v>
      </x:c>
      <x:c r="M133" s="17" t="str">
        <x:f>IF(J133="","",J133+L133)</x:f>
      </x:c>
      <x:c r="N133" s="11"/>
      <x:c r="O133" s="15"/>
      <x:c r="P133" s="15"/>
      <x:c r="Q133" s="11"/>
      <x:c r="R133" s="11"/>
      <x:c r="S133" s="17"/>
      <x:c r="T133" s="17" t="str">
        <x:f>IF(J133="","",J133-S133)</x:f>
      </x:c>
      <x:c r="U133" s="11"/>
    </x:row>
    <x:row r="134">
      <x:c r="A134" s="15"/>
      <x:c r="B134" s="11" t="str">
        <x:f>IF(A134="","",TEXT(A134,"yyyy-mm"))</x:f>
      </x:c>
      <x:c r="C134" s="11"/>
      <x:c r="D134" s="11"/>
      <x:c r="E134" s="11"/>
      <x:c r="F134" s="11"/>
      <x:c r="G134" s="11"/>
      <x:c r="H134" s="17"/>
      <x:c r="I134" s="17"/>
      <x:c r="J134" s="17" t="str">
        <x:f>IF(H134="","",H134*I134)</x:f>
      </x:c>
      <x:c r="K134" s="11"/>
      <x:c r="L134" s="17" t="n">
        <x:f>IF(OR(J134="",K134&lt;&gt;"VAT_APPLICABLE"),0,J134*0.1)</x:f>
        <x:v>0</x:v>
      </x:c>
      <x:c r="M134" s="17" t="str">
        <x:f>IF(J134="","",J134+L134)</x:f>
      </x:c>
      <x:c r="N134" s="11"/>
      <x:c r="O134" s="15"/>
      <x:c r="P134" s="15"/>
      <x:c r="Q134" s="11"/>
      <x:c r="R134" s="11"/>
      <x:c r="S134" s="17"/>
      <x:c r="T134" s="17" t="str">
        <x:f>IF(J134="","",J134-S134)</x:f>
      </x:c>
      <x:c r="U134" s="11"/>
    </x:row>
    <x:row r="135">
      <x:c r="A135" s="15"/>
      <x:c r="B135" s="11" t="str">
        <x:f>IF(A135="","",TEXT(A135,"yyyy-mm"))</x:f>
      </x:c>
      <x:c r="C135" s="11"/>
      <x:c r="D135" s="11"/>
      <x:c r="E135" s="11"/>
      <x:c r="F135" s="11"/>
      <x:c r="G135" s="11"/>
      <x:c r="H135" s="17"/>
      <x:c r="I135" s="17"/>
      <x:c r="J135" s="17" t="str">
        <x:f>IF(H135="","",H135*I135)</x:f>
      </x:c>
      <x:c r="K135" s="11"/>
      <x:c r="L135" s="17" t="n">
        <x:f>IF(OR(J135="",K135&lt;&gt;"VAT_APPLICABLE"),0,J135*0.1)</x:f>
        <x:v>0</x:v>
      </x:c>
      <x:c r="M135" s="17" t="str">
        <x:f>IF(J135="","",J135+L135)</x:f>
      </x:c>
      <x:c r="N135" s="11"/>
      <x:c r="O135" s="15"/>
      <x:c r="P135" s="15"/>
      <x:c r="Q135" s="11"/>
      <x:c r="R135" s="11"/>
      <x:c r="S135" s="17"/>
      <x:c r="T135" s="17" t="str">
        <x:f>IF(J135="","",J135-S135)</x:f>
      </x:c>
      <x:c r="U135" s="11"/>
    </x:row>
    <x:row r="136">
      <x:c r="A136" s="15"/>
      <x:c r="B136" s="11" t="str">
        <x:f>IF(A136="","",TEXT(A136,"yyyy-mm"))</x:f>
      </x:c>
      <x:c r="C136" s="11"/>
      <x:c r="D136" s="11"/>
      <x:c r="E136" s="11"/>
      <x:c r="F136" s="11"/>
      <x:c r="G136" s="11"/>
      <x:c r="H136" s="17"/>
      <x:c r="I136" s="17"/>
      <x:c r="J136" s="17" t="str">
        <x:f>IF(H136="","",H136*I136)</x:f>
      </x:c>
      <x:c r="K136" s="11"/>
      <x:c r="L136" s="17" t="n">
        <x:f>IF(OR(J136="",K136&lt;&gt;"VAT_APPLICABLE"),0,J136*0.1)</x:f>
        <x:v>0</x:v>
      </x:c>
      <x:c r="M136" s="17" t="str">
        <x:f>IF(J136="","",J136+L136)</x:f>
      </x:c>
      <x:c r="N136" s="11"/>
      <x:c r="O136" s="15"/>
      <x:c r="P136" s="15"/>
      <x:c r="Q136" s="11"/>
      <x:c r="R136" s="11"/>
      <x:c r="S136" s="17"/>
      <x:c r="T136" s="17" t="str">
        <x:f>IF(J136="","",J136-S136)</x:f>
      </x:c>
      <x:c r="U136" s="11"/>
    </x:row>
    <x:row r="137">
      <x:c r="A137" s="15"/>
      <x:c r="B137" s="11" t="str">
        <x:f>IF(A137="","",TEXT(A137,"yyyy-mm"))</x:f>
      </x:c>
      <x:c r="C137" s="11"/>
      <x:c r="D137" s="11"/>
      <x:c r="E137" s="11"/>
      <x:c r="F137" s="11"/>
      <x:c r="G137" s="11"/>
      <x:c r="H137" s="17"/>
      <x:c r="I137" s="17"/>
      <x:c r="J137" s="17" t="str">
        <x:f>IF(H137="","",H137*I137)</x:f>
      </x:c>
      <x:c r="K137" s="11"/>
      <x:c r="L137" s="17" t="n">
        <x:f>IF(OR(J137="",K137&lt;&gt;"VAT_APPLICABLE"),0,J137*0.1)</x:f>
        <x:v>0</x:v>
      </x:c>
      <x:c r="M137" s="17" t="str">
        <x:f>IF(J137="","",J137+L137)</x:f>
      </x:c>
      <x:c r="N137" s="11"/>
      <x:c r="O137" s="15"/>
      <x:c r="P137" s="15"/>
      <x:c r="Q137" s="11"/>
      <x:c r="R137" s="11"/>
      <x:c r="S137" s="17"/>
      <x:c r="T137" s="17" t="str">
        <x:f>IF(J137="","",J137-S137)</x:f>
      </x:c>
      <x:c r="U137" s="11"/>
    </x:row>
    <x:row r="138">
      <x:c r="A138" s="15"/>
      <x:c r="B138" s="11" t="str">
        <x:f>IF(A138="","",TEXT(A138,"yyyy-mm"))</x:f>
      </x:c>
      <x:c r="C138" s="11"/>
      <x:c r="D138" s="11"/>
      <x:c r="E138" s="11"/>
      <x:c r="F138" s="11"/>
      <x:c r="G138" s="11"/>
      <x:c r="H138" s="17"/>
      <x:c r="I138" s="17"/>
      <x:c r="J138" s="17" t="str">
        <x:f>IF(H138="","",H138*I138)</x:f>
      </x:c>
      <x:c r="K138" s="11"/>
      <x:c r="L138" s="17" t="n">
        <x:f>IF(OR(J138="",K138&lt;&gt;"VAT_APPLICABLE"),0,J138*0.1)</x:f>
        <x:v>0</x:v>
      </x:c>
      <x:c r="M138" s="17" t="str">
        <x:f>IF(J138="","",J138+L138)</x:f>
      </x:c>
      <x:c r="N138" s="11"/>
      <x:c r="O138" s="15"/>
      <x:c r="P138" s="15"/>
      <x:c r="Q138" s="11"/>
      <x:c r="R138" s="11"/>
      <x:c r="S138" s="17"/>
      <x:c r="T138" s="17" t="str">
        <x:f>IF(J138="","",J138-S138)</x:f>
      </x:c>
      <x:c r="U138" s="11"/>
    </x:row>
    <x:row r="139">
      <x:c r="A139" s="15"/>
      <x:c r="B139" s="11" t="str">
        <x:f>IF(A139="","",TEXT(A139,"yyyy-mm"))</x:f>
      </x:c>
      <x:c r="C139" s="11"/>
      <x:c r="D139" s="11"/>
      <x:c r="E139" s="11"/>
      <x:c r="F139" s="11"/>
      <x:c r="G139" s="11"/>
      <x:c r="H139" s="17"/>
      <x:c r="I139" s="17"/>
      <x:c r="J139" s="17" t="str">
        <x:f>IF(H139="","",H139*I139)</x:f>
      </x:c>
      <x:c r="K139" s="11"/>
      <x:c r="L139" s="17" t="n">
        <x:f>IF(OR(J139="",K139&lt;&gt;"VAT_APPLICABLE"),0,J139*0.1)</x:f>
        <x:v>0</x:v>
      </x:c>
      <x:c r="M139" s="17" t="str">
        <x:f>IF(J139="","",J139+L139)</x:f>
      </x:c>
      <x:c r="N139" s="11"/>
      <x:c r="O139" s="15"/>
      <x:c r="P139" s="15"/>
      <x:c r="Q139" s="11"/>
      <x:c r="R139" s="11"/>
      <x:c r="S139" s="17"/>
      <x:c r="T139" s="17" t="str">
        <x:f>IF(J139="","",J139-S139)</x:f>
      </x:c>
      <x:c r="U139" s="11"/>
    </x:row>
    <x:row r="140">
      <x:c r="A140" s="15"/>
      <x:c r="B140" s="11" t="str">
        <x:f>IF(A140="","",TEXT(A140,"yyyy-mm"))</x:f>
      </x:c>
      <x:c r="C140" s="11"/>
      <x:c r="D140" s="11"/>
      <x:c r="E140" s="11"/>
      <x:c r="F140" s="11"/>
      <x:c r="G140" s="11"/>
      <x:c r="H140" s="17"/>
      <x:c r="I140" s="17"/>
      <x:c r="J140" s="17" t="str">
        <x:f>IF(H140="","",H140*I140)</x:f>
      </x:c>
      <x:c r="K140" s="11"/>
      <x:c r="L140" s="17" t="n">
        <x:f>IF(OR(J140="",K140&lt;&gt;"VAT_APPLICABLE"),0,J140*0.1)</x:f>
        <x:v>0</x:v>
      </x:c>
      <x:c r="M140" s="17" t="str">
        <x:f>IF(J140="","",J140+L140)</x:f>
      </x:c>
      <x:c r="N140" s="11"/>
      <x:c r="O140" s="15"/>
      <x:c r="P140" s="15"/>
      <x:c r="Q140" s="11"/>
      <x:c r="R140" s="11"/>
      <x:c r="S140" s="17"/>
      <x:c r="T140" s="17" t="str">
        <x:f>IF(J140="","",J140-S140)</x:f>
      </x:c>
      <x:c r="U140" s="11"/>
    </x:row>
    <x:row r="141">
      <x:c r="A141" s="15"/>
      <x:c r="B141" s="11" t="str">
        <x:f>IF(A141="","",TEXT(A141,"yyyy-mm"))</x:f>
      </x:c>
      <x:c r="C141" s="11"/>
      <x:c r="D141" s="11"/>
      <x:c r="E141" s="11"/>
      <x:c r="F141" s="11"/>
      <x:c r="G141" s="11"/>
      <x:c r="H141" s="17"/>
      <x:c r="I141" s="17"/>
      <x:c r="J141" s="17" t="str">
        <x:f>IF(H141="","",H141*I141)</x:f>
      </x:c>
      <x:c r="K141" s="11"/>
      <x:c r="L141" s="17" t="n">
        <x:f>IF(OR(J141="",K141&lt;&gt;"VAT_APPLICABLE"),0,J141*0.1)</x:f>
        <x:v>0</x:v>
      </x:c>
      <x:c r="M141" s="17" t="str">
        <x:f>IF(J141="","",J141+L141)</x:f>
      </x:c>
      <x:c r="N141" s="11"/>
      <x:c r="O141" s="15"/>
      <x:c r="P141" s="15"/>
      <x:c r="Q141" s="11"/>
      <x:c r="R141" s="11"/>
      <x:c r="S141" s="17"/>
      <x:c r="T141" s="17" t="str">
        <x:f>IF(J141="","",J141-S141)</x:f>
      </x:c>
      <x:c r="U141" s="11"/>
    </x:row>
    <x:row r="142">
      <x:c r="A142" s="15"/>
      <x:c r="B142" s="11" t="str">
        <x:f>IF(A142="","",TEXT(A142,"yyyy-mm"))</x:f>
      </x:c>
      <x:c r="C142" s="11"/>
      <x:c r="D142" s="11"/>
      <x:c r="E142" s="11"/>
      <x:c r="F142" s="11"/>
      <x:c r="G142" s="11"/>
      <x:c r="H142" s="17"/>
      <x:c r="I142" s="17"/>
      <x:c r="J142" s="17" t="str">
        <x:f>IF(H142="","",H142*I142)</x:f>
      </x:c>
      <x:c r="K142" s="11"/>
      <x:c r="L142" s="17" t="n">
        <x:f>IF(OR(J142="",K142&lt;&gt;"VAT_APPLICABLE"),0,J142*0.1)</x:f>
        <x:v>0</x:v>
      </x:c>
      <x:c r="M142" s="17" t="str">
        <x:f>IF(J142="","",J142+L142)</x:f>
      </x:c>
      <x:c r="N142" s="11"/>
      <x:c r="O142" s="15"/>
      <x:c r="P142" s="15"/>
      <x:c r="Q142" s="11"/>
      <x:c r="R142" s="11"/>
      <x:c r="S142" s="17"/>
      <x:c r="T142" s="17" t="str">
        <x:f>IF(J142="","",J142-S142)</x:f>
      </x:c>
      <x:c r="U142" s="11"/>
    </x:row>
    <x:row r="143">
      <x:c r="A143" s="15"/>
      <x:c r="B143" s="11" t="str">
        <x:f>IF(A143="","",TEXT(A143,"yyyy-mm"))</x:f>
      </x:c>
      <x:c r="C143" s="11"/>
      <x:c r="D143" s="11"/>
      <x:c r="E143" s="11"/>
      <x:c r="F143" s="11"/>
      <x:c r="G143" s="11"/>
      <x:c r="H143" s="17"/>
      <x:c r="I143" s="17"/>
      <x:c r="J143" s="17" t="str">
        <x:f>IF(H143="","",H143*I143)</x:f>
      </x:c>
      <x:c r="K143" s="11"/>
      <x:c r="L143" s="17" t="n">
        <x:f>IF(OR(J143="",K143&lt;&gt;"VAT_APPLICABLE"),0,J143*0.1)</x:f>
        <x:v>0</x:v>
      </x:c>
      <x:c r="M143" s="17" t="str">
        <x:f>IF(J143="","",J143+L143)</x:f>
      </x:c>
      <x:c r="N143" s="11"/>
      <x:c r="O143" s="15"/>
      <x:c r="P143" s="15"/>
      <x:c r="Q143" s="11"/>
      <x:c r="R143" s="11"/>
      <x:c r="S143" s="17"/>
      <x:c r="T143" s="17" t="str">
        <x:f>IF(J143="","",J143-S143)</x:f>
      </x:c>
      <x:c r="U143" s="11"/>
    </x:row>
    <x:row r="144">
      <x:c r="A144" s="15"/>
      <x:c r="B144" s="11" t="str">
        <x:f>IF(A144="","",TEXT(A144,"yyyy-mm"))</x:f>
      </x:c>
      <x:c r="C144" s="11"/>
      <x:c r="D144" s="11"/>
      <x:c r="E144" s="11"/>
      <x:c r="F144" s="11"/>
      <x:c r="G144" s="11"/>
      <x:c r="H144" s="17"/>
      <x:c r="I144" s="17"/>
      <x:c r="J144" s="17" t="str">
        <x:f>IF(H144="","",H144*I144)</x:f>
      </x:c>
      <x:c r="K144" s="11"/>
      <x:c r="L144" s="17" t="n">
        <x:f>IF(OR(J144="",K144&lt;&gt;"VAT_APPLICABLE"),0,J144*0.1)</x:f>
        <x:v>0</x:v>
      </x:c>
      <x:c r="M144" s="17" t="str">
        <x:f>IF(J144="","",J144+L144)</x:f>
      </x:c>
      <x:c r="N144" s="11"/>
      <x:c r="O144" s="15"/>
      <x:c r="P144" s="15"/>
      <x:c r="Q144" s="11"/>
      <x:c r="R144" s="11"/>
      <x:c r="S144" s="17"/>
      <x:c r="T144" s="17" t="str">
        <x:f>IF(J144="","",J144-S144)</x:f>
      </x:c>
      <x:c r="U144" s="11"/>
    </x:row>
    <x:row r="145">
      <x:c r="A145" s="15"/>
      <x:c r="B145" s="11" t="str">
        <x:f>IF(A145="","",TEXT(A145,"yyyy-mm"))</x:f>
      </x:c>
      <x:c r="C145" s="11"/>
      <x:c r="D145" s="11"/>
      <x:c r="E145" s="11"/>
      <x:c r="F145" s="11"/>
      <x:c r="G145" s="11"/>
      <x:c r="H145" s="17"/>
      <x:c r="I145" s="17"/>
      <x:c r="J145" s="17" t="str">
        <x:f>IF(H145="","",H145*I145)</x:f>
      </x:c>
      <x:c r="K145" s="11"/>
      <x:c r="L145" s="17" t="n">
        <x:f>IF(OR(J145="",K145&lt;&gt;"VAT_APPLICABLE"),0,J145*0.1)</x:f>
        <x:v>0</x:v>
      </x:c>
      <x:c r="M145" s="17" t="str">
        <x:f>IF(J145="","",J145+L145)</x:f>
      </x:c>
      <x:c r="N145" s="11"/>
      <x:c r="O145" s="15"/>
      <x:c r="P145" s="15"/>
      <x:c r="Q145" s="11"/>
      <x:c r="R145" s="11"/>
      <x:c r="S145" s="17"/>
      <x:c r="T145" s="17" t="str">
        <x:f>IF(J145="","",J145-S145)</x:f>
      </x:c>
      <x:c r="U145" s="11"/>
    </x:row>
    <x:row r="146">
      <x:c r="A146" s="15"/>
      <x:c r="B146" s="11" t="str">
        <x:f>IF(A146="","",TEXT(A146,"yyyy-mm"))</x:f>
      </x:c>
      <x:c r="C146" s="11"/>
      <x:c r="D146" s="11"/>
      <x:c r="E146" s="11"/>
      <x:c r="F146" s="11"/>
      <x:c r="G146" s="11"/>
      <x:c r="H146" s="17"/>
      <x:c r="I146" s="17"/>
      <x:c r="J146" s="17" t="str">
        <x:f>IF(H146="","",H146*I146)</x:f>
      </x:c>
      <x:c r="K146" s="11"/>
      <x:c r="L146" s="17" t="n">
        <x:f>IF(OR(J146="",K146&lt;&gt;"VAT_APPLICABLE"),0,J146*0.1)</x:f>
        <x:v>0</x:v>
      </x:c>
      <x:c r="M146" s="17" t="str">
        <x:f>IF(J146="","",J146+L146)</x:f>
      </x:c>
      <x:c r="N146" s="11"/>
      <x:c r="O146" s="15"/>
      <x:c r="P146" s="15"/>
      <x:c r="Q146" s="11"/>
      <x:c r="R146" s="11"/>
      <x:c r="S146" s="17"/>
      <x:c r="T146" s="17" t="str">
        <x:f>IF(J146="","",J146-S146)</x:f>
      </x:c>
      <x:c r="U146" s="11"/>
    </x:row>
    <x:row r="147">
      <x:c r="A147" s="15"/>
      <x:c r="B147" s="11" t="str">
        <x:f>IF(A147="","",TEXT(A147,"yyyy-mm"))</x:f>
      </x:c>
      <x:c r="C147" s="11"/>
      <x:c r="D147" s="11"/>
      <x:c r="E147" s="11"/>
      <x:c r="F147" s="11"/>
      <x:c r="G147" s="11"/>
      <x:c r="H147" s="17"/>
      <x:c r="I147" s="17"/>
      <x:c r="J147" s="17" t="str">
        <x:f>IF(H147="","",H147*I147)</x:f>
      </x:c>
      <x:c r="K147" s="11"/>
      <x:c r="L147" s="17" t="n">
        <x:f>IF(OR(J147="",K147&lt;&gt;"VAT_APPLICABLE"),0,J147*0.1)</x:f>
        <x:v>0</x:v>
      </x:c>
      <x:c r="M147" s="17" t="str">
        <x:f>IF(J147="","",J147+L147)</x:f>
      </x:c>
      <x:c r="N147" s="11"/>
      <x:c r="O147" s="15"/>
      <x:c r="P147" s="15"/>
      <x:c r="Q147" s="11"/>
      <x:c r="R147" s="11"/>
      <x:c r="S147" s="17"/>
      <x:c r="T147" s="17" t="str">
        <x:f>IF(J147="","",J147-S147)</x:f>
      </x:c>
      <x:c r="U147" s="11"/>
    </x:row>
    <x:row r="148">
      <x:c r="A148" s="15"/>
      <x:c r="B148" s="11" t="str">
        <x:f>IF(A148="","",TEXT(A148,"yyyy-mm"))</x:f>
      </x:c>
      <x:c r="C148" s="11"/>
      <x:c r="D148" s="11"/>
      <x:c r="E148" s="11"/>
      <x:c r="F148" s="11"/>
      <x:c r="G148" s="11"/>
      <x:c r="H148" s="17"/>
      <x:c r="I148" s="17"/>
      <x:c r="J148" s="17" t="str">
        <x:f>IF(H148="","",H148*I148)</x:f>
      </x:c>
      <x:c r="K148" s="11"/>
      <x:c r="L148" s="17" t="n">
        <x:f>IF(OR(J148="",K148&lt;&gt;"VAT_APPLICABLE"),0,J148*0.1)</x:f>
        <x:v>0</x:v>
      </x:c>
      <x:c r="M148" s="17" t="str">
        <x:f>IF(J148="","",J148+L148)</x:f>
      </x:c>
      <x:c r="N148" s="11"/>
      <x:c r="O148" s="15"/>
      <x:c r="P148" s="15"/>
      <x:c r="Q148" s="11"/>
      <x:c r="R148" s="11"/>
      <x:c r="S148" s="17"/>
      <x:c r="T148" s="17" t="str">
        <x:f>IF(J148="","",J148-S148)</x:f>
      </x:c>
      <x:c r="U148" s="11"/>
    </x:row>
    <x:row r="149">
      <x:c r="A149" s="15"/>
      <x:c r="B149" s="11" t="str">
        <x:f>IF(A149="","",TEXT(A149,"yyyy-mm"))</x:f>
      </x:c>
      <x:c r="C149" s="11"/>
      <x:c r="D149" s="11"/>
      <x:c r="E149" s="11"/>
      <x:c r="F149" s="11"/>
      <x:c r="G149" s="11"/>
      <x:c r="H149" s="17"/>
      <x:c r="I149" s="17"/>
      <x:c r="J149" s="17" t="str">
        <x:f>IF(H149="","",H149*I149)</x:f>
      </x:c>
      <x:c r="K149" s="11"/>
      <x:c r="L149" s="17" t="n">
        <x:f>IF(OR(J149="",K149&lt;&gt;"VAT_APPLICABLE"),0,J149*0.1)</x:f>
        <x:v>0</x:v>
      </x:c>
      <x:c r="M149" s="17" t="str">
        <x:f>IF(J149="","",J149+L149)</x:f>
      </x:c>
      <x:c r="N149" s="11"/>
      <x:c r="O149" s="15"/>
      <x:c r="P149" s="15"/>
      <x:c r="Q149" s="11"/>
      <x:c r="R149" s="11"/>
      <x:c r="S149" s="17"/>
      <x:c r="T149" s="17" t="str">
        <x:f>IF(J149="","",J149-S149)</x:f>
      </x:c>
      <x:c r="U149" s="11"/>
    </x:row>
    <x:row r="150">
      <x:c r="A150" s="15"/>
      <x:c r="B150" s="11" t="str">
        <x:f>IF(A150="","",TEXT(A150,"yyyy-mm"))</x:f>
      </x:c>
      <x:c r="C150" s="11"/>
      <x:c r="D150" s="11"/>
      <x:c r="E150" s="11"/>
      <x:c r="F150" s="11"/>
      <x:c r="G150" s="11"/>
      <x:c r="H150" s="17"/>
      <x:c r="I150" s="17"/>
      <x:c r="J150" s="17" t="str">
        <x:f>IF(H150="","",H150*I150)</x:f>
      </x:c>
      <x:c r="K150" s="11"/>
      <x:c r="L150" s="17" t="n">
        <x:f>IF(OR(J150="",K150&lt;&gt;"VAT_APPLICABLE"),0,J150*0.1)</x:f>
        <x:v>0</x:v>
      </x:c>
      <x:c r="M150" s="17" t="str">
        <x:f>IF(J150="","",J150+L150)</x:f>
      </x:c>
      <x:c r="N150" s="11"/>
      <x:c r="O150" s="15"/>
      <x:c r="P150" s="15"/>
      <x:c r="Q150" s="11"/>
      <x:c r="R150" s="11"/>
      <x:c r="S150" s="17"/>
      <x:c r="T150" s="17" t="str">
        <x:f>IF(J150="","",J150-S150)</x:f>
      </x:c>
      <x:c r="U150" s="11"/>
    </x:row>
    <x:row r="151">
      <x:c r="A151" s="15"/>
      <x:c r="B151" s="11" t="str">
        <x:f>IF(A151="","",TEXT(A151,"yyyy-mm"))</x:f>
      </x:c>
      <x:c r="C151" s="11"/>
      <x:c r="D151" s="11"/>
      <x:c r="E151" s="11"/>
      <x:c r="F151" s="11"/>
      <x:c r="G151" s="11"/>
      <x:c r="H151" s="17"/>
      <x:c r="I151" s="17"/>
      <x:c r="J151" s="17" t="str">
        <x:f>IF(H151="","",H151*I151)</x:f>
      </x:c>
      <x:c r="K151" s="11"/>
      <x:c r="L151" s="17" t="n">
        <x:f>IF(OR(J151="",K151&lt;&gt;"VAT_APPLICABLE"),0,J151*0.1)</x:f>
        <x:v>0</x:v>
      </x:c>
      <x:c r="M151" s="17" t="str">
        <x:f>IF(J151="","",J151+L151)</x:f>
      </x:c>
      <x:c r="N151" s="11"/>
      <x:c r="O151" s="15"/>
      <x:c r="P151" s="15"/>
      <x:c r="Q151" s="11"/>
      <x:c r="R151" s="11"/>
      <x:c r="S151" s="17"/>
      <x:c r="T151" s="17" t="str">
        <x:f>IF(J151="","",J151-S151)</x:f>
      </x:c>
      <x:c r="U151" s="11"/>
    </x:row>
    <x:row r="152">
      <x:c r="A152" s="15"/>
      <x:c r="B152" s="11" t="str">
        <x:f>IF(A152="","",TEXT(A152,"yyyy-mm"))</x:f>
      </x:c>
      <x:c r="C152" s="11"/>
      <x:c r="D152" s="11"/>
      <x:c r="E152" s="11"/>
      <x:c r="F152" s="11"/>
      <x:c r="G152" s="11"/>
      <x:c r="H152" s="17"/>
      <x:c r="I152" s="17"/>
      <x:c r="J152" s="17" t="str">
        <x:f>IF(H152="","",H152*I152)</x:f>
      </x:c>
      <x:c r="K152" s="11"/>
      <x:c r="L152" s="17" t="n">
        <x:f>IF(OR(J152="",K152&lt;&gt;"VAT_APPLICABLE"),0,J152*0.1)</x:f>
        <x:v>0</x:v>
      </x:c>
      <x:c r="M152" s="17" t="str">
        <x:f>IF(J152="","",J152+L152)</x:f>
      </x:c>
      <x:c r="N152" s="11"/>
      <x:c r="O152" s="15"/>
      <x:c r="P152" s="15"/>
      <x:c r="Q152" s="11"/>
      <x:c r="R152" s="11"/>
      <x:c r="S152" s="17"/>
      <x:c r="T152" s="17" t="str">
        <x:f>IF(J152="","",J152-S152)</x:f>
      </x:c>
      <x:c r="U152" s="11"/>
    </x:row>
    <x:row r="153">
      <x:c r="A153" s="15"/>
      <x:c r="B153" s="11" t="str">
        <x:f>IF(A153="","",TEXT(A153,"yyyy-mm"))</x:f>
      </x:c>
      <x:c r="C153" s="11"/>
      <x:c r="D153" s="11"/>
      <x:c r="E153" s="11"/>
      <x:c r="F153" s="11"/>
      <x:c r="G153" s="11"/>
      <x:c r="H153" s="17"/>
      <x:c r="I153" s="17"/>
      <x:c r="J153" s="17" t="str">
        <x:f>IF(H153="","",H153*I153)</x:f>
      </x:c>
      <x:c r="K153" s="11"/>
      <x:c r="L153" s="17" t="n">
        <x:f>IF(OR(J153="",K153&lt;&gt;"VAT_APPLICABLE"),0,J153*0.1)</x:f>
        <x:v>0</x:v>
      </x:c>
      <x:c r="M153" s="17" t="str">
        <x:f>IF(J153="","",J153+L153)</x:f>
      </x:c>
      <x:c r="N153" s="11"/>
      <x:c r="O153" s="15"/>
      <x:c r="P153" s="15"/>
      <x:c r="Q153" s="11"/>
      <x:c r="R153" s="11"/>
      <x:c r="S153" s="17"/>
      <x:c r="T153" s="17" t="str">
        <x:f>IF(J153="","",J153-S153)</x:f>
      </x:c>
      <x:c r="U153" s="11"/>
    </x:row>
    <x:row r="154">
      <x:c r="A154" s="15"/>
      <x:c r="B154" s="11" t="str">
        <x:f>IF(A154="","",TEXT(A154,"yyyy-mm"))</x:f>
      </x:c>
      <x:c r="C154" s="11"/>
      <x:c r="D154" s="11"/>
      <x:c r="E154" s="11"/>
      <x:c r="F154" s="11"/>
      <x:c r="G154" s="11"/>
      <x:c r="H154" s="17"/>
      <x:c r="I154" s="17"/>
      <x:c r="J154" s="17" t="str">
        <x:f>IF(H154="","",H154*I154)</x:f>
      </x:c>
      <x:c r="K154" s="11"/>
      <x:c r="L154" s="17" t="n">
        <x:f>IF(OR(J154="",K154&lt;&gt;"VAT_APPLICABLE"),0,J154*0.1)</x:f>
        <x:v>0</x:v>
      </x:c>
      <x:c r="M154" s="17" t="str">
        <x:f>IF(J154="","",J154+L154)</x:f>
      </x:c>
      <x:c r="N154" s="11"/>
      <x:c r="O154" s="15"/>
      <x:c r="P154" s="15"/>
      <x:c r="Q154" s="11"/>
      <x:c r="R154" s="11"/>
      <x:c r="S154" s="17"/>
      <x:c r="T154" s="17" t="str">
        <x:f>IF(J154="","",J154-S154)</x:f>
      </x:c>
      <x:c r="U154" s="11"/>
    </x:row>
    <x:row r="155">
      <x:c r="A155" s="15"/>
      <x:c r="B155" s="11" t="str">
        <x:f>IF(A155="","",TEXT(A155,"yyyy-mm"))</x:f>
      </x:c>
      <x:c r="C155" s="11"/>
      <x:c r="D155" s="11"/>
      <x:c r="E155" s="11"/>
      <x:c r="F155" s="11"/>
      <x:c r="G155" s="11"/>
      <x:c r="H155" s="17"/>
      <x:c r="I155" s="17"/>
      <x:c r="J155" s="17" t="str">
        <x:f>IF(H155="","",H155*I155)</x:f>
      </x:c>
      <x:c r="K155" s="11"/>
      <x:c r="L155" s="17" t="n">
        <x:f>IF(OR(J155="",K155&lt;&gt;"VAT_APPLICABLE"),0,J155*0.1)</x:f>
        <x:v>0</x:v>
      </x:c>
      <x:c r="M155" s="17" t="str">
        <x:f>IF(J155="","",J155+L155)</x:f>
      </x:c>
      <x:c r="N155" s="11"/>
      <x:c r="O155" s="15"/>
      <x:c r="P155" s="15"/>
      <x:c r="Q155" s="11"/>
      <x:c r="R155" s="11"/>
      <x:c r="S155" s="17"/>
      <x:c r="T155" s="17" t="str">
        <x:f>IF(J155="","",J155-S155)</x:f>
      </x:c>
      <x:c r="U155" s="11"/>
    </x:row>
    <x:row r="156">
      <x:c r="A156" s="15"/>
      <x:c r="B156" s="11" t="str">
        <x:f>IF(A156="","",TEXT(A156,"yyyy-mm"))</x:f>
      </x:c>
      <x:c r="C156" s="11"/>
      <x:c r="D156" s="11"/>
      <x:c r="E156" s="11"/>
      <x:c r="F156" s="11"/>
      <x:c r="G156" s="11"/>
      <x:c r="H156" s="17"/>
      <x:c r="I156" s="17"/>
      <x:c r="J156" s="17" t="str">
        <x:f>IF(H156="","",H156*I156)</x:f>
      </x:c>
      <x:c r="K156" s="11"/>
      <x:c r="L156" s="17" t="n">
        <x:f>IF(OR(J156="",K156&lt;&gt;"VAT_APPLICABLE"),0,J156*0.1)</x:f>
        <x:v>0</x:v>
      </x:c>
      <x:c r="M156" s="17" t="str">
        <x:f>IF(J156="","",J156+L156)</x:f>
      </x:c>
      <x:c r="N156" s="11"/>
      <x:c r="O156" s="15"/>
      <x:c r="P156" s="15"/>
      <x:c r="Q156" s="11"/>
      <x:c r="R156" s="11"/>
      <x:c r="S156" s="17"/>
      <x:c r="T156" s="17" t="str">
        <x:f>IF(J156="","",J156-S156)</x:f>
      </x:c>
      <x:c r="U156" s="11"/>
    </x:row>
    <x:row r="157">
      <x:c r="A157" s="15"/>
      <x:c r="B157" s="11" t="str">
        <x:f>IF(A157="","",TEXT(A157,"yyyy-mm"))</x:f>
      </x:c>
      <x:c r="C157" s="11"/>
      <x:c r="D157" s="11"/>
      <x:c r="E157" s="11"/>
      <x:c r="F157" s="11"/>
      <x:c r="G157" s="11"/>
      <x:c r="H157" s="17"/>
      <x:c r="I157" s="17"/>
      <x:c r="J157" s="17" t="str">
        <x:f>IF(H157="","",H157*I157)</x:f>
      </x:c>
      <x:c r="K157" s="11"/>
      <x:c r="L157" s="17" t="n">
        <x:f>IF(OR(J157="",K157&lt;&gt;"VAT_APPLICABLE"),0,J157*0.1)</x:f>
        <x:v>0</x:v>
      </x:c>
      <x:c r="M157" s="17" t="str">
        <x:f>IF(J157="","",J157+L157)</x:f>
      </x:c>
      <x:c r="N157" s="11"/>
      <x:c r="O157" s="15"/>
      <x:c r="P157" s="15"/>
      <x:c r="Q157" s="11"/>
      <x:c r="R157" s="11"/>
      <x:c r="S157" s="17"/>
      <x:c r="T157" s="17" t="str">
        <x:f>IF(J157="","",J157-S157)</x:f>
      </x:c>
      <x:c r="U157" s="11"/>
    </x:row>
    <x:row r="158">
      <x:c r="A158" s="15"/>
      <x:c r="B158" s="11" t="str">
        <x:f>IF(A158="","",TEXT(A158,"yyyy-mm"))</x:f>
      </x:c>
      <x:c r="C158" s="11"/>
      <x:c r="D158" s="11"/>
      <x:c r="E158" s="11"/>
      <x:c r="F158" s="11"/>
      <x:c r="G158" s="11"/>
      <x:c r="H158" s="17"/>
      <x:c r="I158" s="17"/>
      <x:c r="J158" s="17" t="str">
        <x:f>IF(H158="","",H158*I158)</x:f>
      </x:c>
      <x:c r="K158" s="11"/>
      <x:c r="L158" s="17" t="n">
        <x:f>IF(OR(J158="",K158&lt;&gt;"VAT_APPLICABLE"),0,J158*0.1)</x:f>
        <x:v>0</x:v>
      </x:c>
      <x:c r="M158" s="17" t="str">
        <x:f>IF(J158="","",J158+L158)</x:f>
      </x:c>
      <x:c r="N158" s="11"/>
      <x:c r="O158" s="15"/>
      <x:c r="P158" s="15"/>
      <x:c r="Q158" s="11"/>
      <x:c r="R158" s="11"/>
      <x:c r="S158" s="17"/>
      <x:c r="T158" s="17" t="str">
        <x:f>IF(J158="","",J158-S158)</x:f>
      </x:c>
      <x:c r="U158" s="11"/>
    </x:row>
    <x:row r="159">
      <x:c r="A159" s="15"/>
      <x:c r="B159" s="11" t="str">
        <x:f>IF(A159="","",TEXT(A159,"yyyy-mm"))</x:f>
      </x:c>
      <x:c r="C159" s="11"/>
      <x:c r="D159" s="11"/>
      <x:c r="E159" s="11"/>
      <x:c r="F159" s="11"/>
      <x:c r="G159" s="11"/>
      <x:c r="H159" s="17"/>
      <x:c r="I159" s="17"/>
      <x:c r="J159" s="17" t="str">
        <x:f>IF(H159="","",H159*I159)</x:f>
      </x:c>
      <x:c r="K159" s="11"/>
      <x:c r="L159" s="17" t="n">
        <x:f>IF(OR(J159="",K159&lt;&gt;"VAT_APPLICABLE"),0,J159*0.1)</x:f>
        <x:v>0</x:v>
      </x:c>
      <x:c r="M159" s="17" t="str">
        <x:f>IF(J159="","",J159+L159)</x:f>
      </x:c>
      <x:c r="N159" s="11"/>
      <x:c r="O159" s="15"/>
      <x:c r="P159" s="15"/>
      <x:c r="Q159" s="11"/>
      <x:c r="R159" s="11"/>
      <x:c r="S159" s="17"/>
      <x:c r="T159" s="17" t="str">
        <x:f>IF(J159="","",J159-S159)</x:f>
      </x:c>
      <x:c r="U159" s="11"/>
    </x:row>
    <x:row r="160">
      <x:c r="A160" s="15"/>
      <x:c r="B160" s="11" t="str">
        <x:f>IF(A160="","",TEXT(A160,"yyyy-mm"))</x:f>
      </x:c>
      <x:c r="C160" s="11"/>
      <x:c r="D160" s="11"/>
      <x:c r="E160" s="11"/>
      <x:c r="F160" s="11"/>
      <x:c r="G160" s="11"/>
      <x:c r="H160" s="17"/>
      <x:c r="I160" s="17"/>
      <x:c r="J160" s="17" t="str">
        <x:f>IF(H160="","",H160*I160)</x:f>
      </x:c>
      <x:c r="K160" s="11"/>
      <x:c r="L160" s="17" t="n">
        <x:f>IF(OR(J160="",K160&lt;&gt;"VAT_APPLICABLE"),0,J160*0.1)</x:f>
        <x:v>0</x:v>
      </x:c>
      <x:c r="M160" s="17" t="str">
        <x:f>IF(J160="","",J160+L160)</x:f>
      </x:c>
      <x:c r="N160" s="11"/>
      <x:c r="O160" s="15"/>
      <x:c r="P160" s="15"/>
      <x:c r="Q160" s="11"/>
      <x:c r="R160" s="11"/>
      <x:c r="S160" s="17"/>
      <x:c r="T160" s="17" t="str">
        <x:f>IF(J160="","",J160-S160)</x:f>
      </x:c>
      <x:c r="U160" s="11"/>
    </x:row>
    <x:row r="161">
      <x:c r="A161" s="15"/>
      <x:c r="B161" s="11" t="str">
        <x:f>IF(A161="","",TEXT(A161,"yyyy-mm"))</x:f>
      </x:c>
      <x:c r="C161" s="11"/>
      <x:c r="D161" s="11"/>
      <x:c r="E161" s="11"/>
      <x:c r="F161" s="11"/>
      <x:c r="G161" s="11"/>
      <x:c r="H161" s="17"/>
      <x:c r="I161" s="17"/>
      <x:c r="J161" s="17" t="str">
        <x:f>IF(H161="","",H161*I161)</x:f>
      </x:c>
      <x:c r="K161" s="11"/>
      <x:c r="L161" s="17" t="n">
        <x:f>IF(OR(J161="",K161&lt;&gt;"VAT_APPLICABLE"),0,J161*0.1)</x:f>
        <x:v>0</x:v>
      </x:c>
      <x:c r="M161" s="17" t="str">
        <x:f>IF(J161="","",J161+L161)</x:f>
      </x:c>
      <x:c r="N161" s="11"/>
      <x:c r="O161" s="15"/>
      <x:c r="P161" s="15"/>
      <x:c r="Q161" s="11"/>
      <x:c r="R161" s="11"/>
      <x:c r="S161" s="17"/>
      <x:c r="T161" s="17" t="str">
        <x:f>IF(J161="","",J161-S161)</x:f>
      </x:c>
      <x:c r="U161" s="11"/>
    </x:row>
    <x:row r="162">
      <x:c r="A162" s="15"/>
      <x:c r="B162" s="11" t="str">
        <x:f>IF(A162="","",TEXT(A162,"yyyy-mm"))</x:f>
      </x:c>
      <x:c r="C162" s="11"/>
      <x:c r="D162" s="11"/>
      <x:c r="E162" s="11"/>
      <x:c r="F162" s="11"/>
      <x:c r="G162" s="11"/>
      <x:c r="H162" s="17"/>
      <x:c r="I162" s="17"/>
      <x:c r="J162" s="17" t="str">
        <x:f>IF(H162="","",H162*I162)</x:f>
      </x:c>
      <x:c r="K162" s="11"/>
      <x:c r="L162" s="17" t="n">
        <x:f>IF(OR(J162="",K162&lt;&gt;"VAT_APPLICABLE"),0,J162*0.1)</x:f>
        <x:v>0</x:v>
      </x:c>
      <x:c r="M162" s="17" t="str">
        <x:f>IF(J162="","",J162+L162)</x:f>
      </x:c>
      <x:c r="N162" s="11"/>
      <x:c r="O162" s="15"/>
      <x:c r="P162" s="15"/>
      <x:c r="Q162" s="11"/>
      <x:c r="R162" s="11"/>
      <x:c r="S162" s="17"/>
      <x:c r="T162" s="17" t="str">
        <x:f>IF(J162="","",J162-S162)</x:f>
      </x:c>
      <x:c r="U162" s="11"/>
    </x:row>
    <x:row r="163">
      <x:c r="A163" s="15"/>
      <x:c r="B163" s="11" t="str">
        <x:f>IF(A163="","",TEXT(A163,"yyyy-mm"))</x:f>
      </x:c>
      <x:c r="C163" s="11"/>
      <x:c r="D163" s="11"/>
      <x:c r="E163" s="11"/>
      <x:c r="F163" s="11"/>
      <x:c r="G163" s="11"/>
      <x:c r="H163" s="17"/>
      <x:c r="I163" s="17"/>
      <x:c r="J163" s="17" t="str">
        <x:f>IF(H163="","",H163*I163)</x:f>
      </x:c>
      <x:c r="K163" s="11"/>
      <x:c r="L163" s="17" t="n">
        <x:f>IF(OR(J163="",K163&lt;&gt;"VAT_APPLICABLE"),0,J163*0.1)</x:f>
        <x:v>0</x:v>
      </x:c>
      <x:c r="M163" s="17" t="str">
        <x:f>IF(J163="","",J163+L163)</x:f>
      </x:c>
      <x:c r="N163" s="11"/>
      <x:c r="O163" s="15"/>
      <x:c r="P163" s="15"/>
      <x:c r="Q163" s="11"/>
      <x:c r="R163" s="11"/>
      <x:c r="S163" s="17"/>
      <x:c r="T163" s="17" t="str">
        <x:f>IF(J163="","",J163-S163)</x:f>
      </x:c>
      <x:c r="U163" s="11"/>
    </x:row>
    <x:row r="164">
      <x:c r="A164" s="15"/>
      <x:c r="B164" s="11" t="str">
        <x:f>IF(A164="","",TEXT(A164,"yyyy-mm"))</x:f>
      </x:c>
      <x:c r="C164" s="11"/>
      <x:c r="D164" s="11"/>
      <x:c r="E164" s="11"/>
      <x:c r="F164" s="11"/>
      <x:c r="G164" s="11"/>
      <x:c r="H164" s="17"/>
      <x:c r="I164" s="17"/>
      <x:c r="J164" s="17" t="str">
        <x:f>IF(H164="","",H164*I164)</x:f>
      </x:c>
      <x:c r="K164" s="11"/>
      <x:c r="L164" s="17" t="n">
        <x:f>IF(OR(J164="",K164&lt;&gt;"VAT_APPLICABLE"),0,J164*0.1)</x:f>
        <x:v>0</x:v>
      </x:c>
      <x:c r="M164" s="17" t="str">
        <x:f>IF(J164="","",J164+L164)</x:f>
      </x:c>
      <x:c r="N164" s="11"/>
      <x:c r="O164" s="15"/>
      <x:c r="P164" s="15"/>
      <x:c r="Q164" s="11"/>
      <x:c r="R164" s="11"/>
      <x:c r="S164" s="17"/>
      <x:c r="T164" s="17" t="str">
        <x:f>IF(J164="","",J164-S164)</x:f>
      </x:c>
      <x:c r="U164" s="11"/>
    </x:row>
    <x:row r="165">
      <x:c r="A165" s="15"/>
      <x:c r="B165" s="11" t="str">
        <x:f>IF(A165="","",TEXT(A165,"yyyy-mm"))</x:f>
      </x:c>
      <x:c r="C165" s="11"/>
      <x:c r="D165" s="11"/>
      <x:c r="E165" s="11"/>
      <x:c r="F165" s="11"/>
      <x:c r="G165" s="11"/>
      <x:c r="H165" s="17"/>
      <x:c r="I165" s="17"/>
      <x:c r="J165" s="17" t="str">
        <x:f>IF(H165="","",H165*I165)</x:f>
      </x:c>
      <x:c r="K165" s="11"/>
      <x:c r="L165" s="17" t="n">
        <x:f>IF(OR(J165="",K165&lt;&gt;"VAT_APPLICABLE"),0,J165*0.1)</x:f>
        <x:v>0</x:v>
      </x:c>
      <x:c r="M165" s="17" t="str">
        <x:f>IF(J165="","",J165+L165)</x:f>
      </x:c>
      <x:c r="N165" s="11"/>
      <x:c r="O165" s="15"/>
      <x:c r="P165" s="15"/>
      <x:c r="Q165" s="11"/>
      <x:c r="R165" s="11"/>
      <x:c r="S165" s="17"/>
      <x:c r="T165" s="17" t="str">
        <x:f>IF(J165="","",J165-S165)</x:f>
      </x:c>
      <x:c r="U165" s="11"/>
    </x:row>
    <x:row r="166">
      <x:c r="A166" s="15"/>
      <x:c r="B166" s="11" t="str">
        <x:f>IF(A166="","",TEXT(A166,"yyyy-mm"))</x:f>
      </x:c>
      <x:c r="C166" s="11"/>
      <x:c r="D166" s="11"/>
      <x:c r="E166" s="11"/>
      <x:c r="F166" s="11"/>
      <x:c r="G166" s="11"/>
      <x:c r="H166" s="17"/>
      <x:c r="I166" s="17"/>
      <x:c r="J166" s="17" t="str">
        <x:f>IF(H166="","",H166*I166)</x:f>
      </x:c>
      <x:c r="K166" s="11"/>
      <x:c r="L166" s="17" t="n">
        <x:f>IF(OR(J166="",K166&lt;&gt;"VAT_APPLICABLE"),0,J166*0.1)</x:f>
        <x:v>0</x:v>
      </x:c>
      <x:c r="M166" s="17" t="str">
        <x:f>IF(J166="","",J166+L166)</x:f>
      </x:c>
      <x:c r="N166" s="11"/>
      <x:c r="O166" s="15"/>
      <x:c r="P166" s="15"/>
      <x:c r="Q166" s="11"/>
      <x:c r="R166" s="11"/>
      <x:c r="S166" s="17"/>
      <x:c r="T166" s="17" t="str">
        <x:f>IF(J166="","",J166-S166)</x:f>
      </x:c>
      <x:c r="U166" s="11"/>
    </x:row>
    <x:row r="167">
      <x:c r="A167" s="15"/>
      <x:c r="B167" s="11" t="str">
        <x:f>IF(A167="","",TEXT(A167,"yyyy-mm"))</x:f>
      </x:c>
      <x:c r="C167" s="11"/>
      <x:c r="D167" s="11"/>
      <x:c r="E167" s="11"/>
      <x:c r="F167" s="11"/>
      <x:c r="G167" s="11"/>
      <x:c r="H167" s="17"/>
      <x:c r="I167" s="17"/>
      <x:c r="J167" s="17" t="str">
        <x:f>IF(H167="","",H167*I167)</x:f>
      </x:c>
      <x:c r="K167" s="11"/>
      <x:c r="L167" s="17" t="n">
        <x:f>IF(OR(J167="",K167&lt;&gt;"VAT_APPLICABLE"),0,J167*0.1)</x:f>
        <x:v>0</x:v>
      </x:c>
      <x:c r="M167" s="17" t="str">
        <x:f>IF(J167="","",J167+L167)</x:f>
      </x:c>
      <x:c r="N167" s="11"/>
      <x:c r="O167" s="15"/>
      <x:c r="P167" s="15"/>
      <x:c r="Q167" s="11"/>
      <x:c r="R167" s="11"/>
      <x:c r="S167" s="17"/>
      <x:c r="T167" s="17" t="str">
        <x:f>IF(J167="","",J167-S167)</x:f>
      </x:c>
      <x:c r="U167" s="11"/>
    </x:row>
    <x:row r="168">
      <x:c r="A168" s="15"/>
      <x:c r="B168" s="11" t="str">
        <x:f>IF(A168="","",TEXT(A168,"yyyy-mm"))</x:f>
      </x:c>
      <x:c r="C168" s="11"/>
      <x:c r="D168" s="11"/>
      <x:c r="E168" s="11"/>
      <x:c r="F168" s="11"/>
      <x:c r="G168" s="11"/>
      <x:c r="H168" s="17"/>
      <x:c r="I168" s="17"/>
      <x:c r="J168" s="17" t="str">
        <x:f>IF(H168="","",H168*I168)</x:f>
      </x:c>
      <x:c r="K168" s="11"/>
      <x:c r="L168" s="17" t="n">
        <x:f>IF(OR(J168="",K168&lt;&gt;"VAT_APPLICABLE"),0,J168*0.1)</x:f>
        <x:v>0</x:v>
      </x:c>
      <x:c r="M168" s="17" t="str">
        <x:f>IF(J168="","",J168+L168)</x:f>
      </x:c>
      <x:c r="N168" s="11"/>
      <x:c r="O168" s="15"/>
      <x:c r="P168" s="15"/>
      <x:c r="Q168" s="11"/>
      <x:c r="R168" s="11"/>
      <x:c r="S168" s="17"/>
      <x:c r="T168" s="17" t="str">
        <x:f>IF(J168="","",J168-S168)</x:f>
      </x:c>
      <x:c r="U168" s="11"/>
    </x:row>
    <x:row r="169">
      <x:c r="A169" s="15"/>
      <x:c r="B169" s="11" t="str">
        <x:f>IF(A169="","",TEXT(A169,"yyyy-mm"))</x:f>
      </x:c>
      <x:c r="C169" s="11"/>
      <x:c r="D169" s="11"/>
      <x:c r="E169" s="11"/>
      <x:c r="F169" s="11"/>
      <x:c r="G169" s="11"/>
      <x:c r="H169" s="17"/>
      <x:c r="I169" s="17"/>
      <x:c r="J169" s="17" t="str">
        <x:f>IF(H169="","",H169*I169)</x:f>
      </x:c>
      <x:c r="K169" s="11"/>
      <x:c r="L169" s="17" t="n">
        <x:f>IF(OR(J169="",K169&lt;&gt;"VAT_APPLICABLE"),0,J169*0.1)</x:f>
        <x:v>0</x:v>
      </x:c>
      <x:c r="M169" s="17" t="str">
        <x:f>IF(J169="","",J169+L169)</x:f>
      </x:c>
      <x:c r="N169" s="11"/>
      <x:c r="O169" s="15"/>
      <x:c r="P169" s="15"/>
      <x:c r="Q169" s="11"/>
      <x:c r="R169" s="11"/>
      <x:c r="S169" s="17"/>
      <x:c r="T169" s="17" t="str">
        <x:f>IF(J169="","",J169-S169)</x:f>
      </x:c>
      <x:c r="U169" s="11"/>
    </x:row>
    <x:row r="170">
      <x:c r="A170" s="15"/>
      <x:c r="B170" s="11" t="str">
        <x:f>IF(A170="","",TEXT(A170,"yyyy-mm"))</x:f>
      </x:c>
      <x:c r="C170" s="11"/>
      <x:c r="D170" s="11"/>
      <x:c r="E170" s="11"/>
      <x:c r="F170" s="11"/>
      <x:c r="G170" s="11"/>
      <x:c r="H170" s="17"/>
      <x:c r="I170" s="17"/>
      <x:c r="J170" s="17" t="str">
        <x:f>IF(H170="","",H170*I170)</x:f>
      </x:c>
      <x:c r="K170" s="11"/>
      <x:c r="L170" s="17" t="n">
        <x:f>IF(OR(J170="",K170&lt;&gt;"VAT_APPLICABLE"),0,J170*0.1)</x:f>
        <x:v>0</x:v>
      </x:c>
      <x:c r="M170" s="17" t="str">
        <x:f>IF(J170="","",J170+L170)</x:f>
      </x:c>
      <x:c r="N170" s="11"/>
      <x:c r="O170" s="15"/>
      <x:c r="P170" s="15"/>
      <x:c r="Q170" s="11"/>
      <x:c r="R170" s="11"/>
      <x:c r="S170" s="17"/>
      <x:c r="T170" s="17" t="str">
        <x:f>IF(J170="","",J170-S170)</x:f>
      </x:c>
      <x:c r="U170" s="11"/>
    </x:row>
    <x:row r="171">
      <x:c r="A171" s="15"/>
      <x:c r="B171" s="11" t="str">
        <x:f>IF(A171="","",TEXT(A171,"yyyy-mm"))</x:f>
      </x:c>
      <x:c r="C171" s="11"/>
      <x:c r="D171" s="11"/>
      <x:c r="E171" s="11"/>
      <x:c r="F171" s="11"/>
      <x:c r="G171" s="11"/>
      <x:c r="H171" s="17"/>
      <x:c r="I171" s="17"/>
      <x:c r="J171" s="17" t="str">
        <x:f>IF(H171="","",H171*I171)</x:f>
      </x:c>
      <x:c r="K171" s="11"/>
      <x:c r="L171" s="17" t="n">
        <x:f>IF(OR(J171="",K171&lt;&gt;"VAT_APPLICABLE"),0,J171*0.1)</x:f>
        <x:v>0</x:v>
      </x:c>
      <x:c r="M171" s="17" t="str">
        <x:f>IF(J171="","",J171+L171)</x:f>
      </x:c>
      <x:c r="N171" s="11"/>
      <x:c r="O171" s="15"/>
      <x:c r="P171" s="15"/>
      <x:c r="Q171" s="11"/>
      <x:c r="R171" s="11"/>
      <x:c r="S171" s="17"/>
      <x:c r="T171" s="17" t="str">
        <x:f>IF(J171="","",J171-S171)</x:f>
      </x:c>
      <x:c r="U171" s="11"/>
    </x:row>
    <x:row r="172">
      <x:c r="A172" s="15"/>
      <x:c r="B172" s="11" t="str">
        <x:f>IF(A172="","",TEXT(A172,"yyyy-mm"))</x:f>
      </x:c>
      <x:c r="C172" s="11"/>
      <x:c r="D172" s="11"/>
      <x:c r="E172" s="11"/>
      <x:c r="F172" s="11"/>
      <x:c r="G172" s="11"/>
      <x:c r="H172" s="17"/>
      <x:c r="I172" s="17"/>
      <x:c r="J172" s="17" t="str">
        <x:f>IF(H172="","",H172*I172)</x:f>
      </x:c>
      <x:c r="K172" s="11"/>
      <x:c r="L172" s="17" t="n">
        <x:f>IF(OR(J172="",K172&lt;&gt;"VAT_APPLICABLE"),0,J172*0.1)</x:f>
        <x:v>0</x:v>
      </x:c>
      <x:c r="M172" s="17" t="str">
        <x:f>IF(J172="","",J172+L172)</x:f>
      </x:c>
      <x:c r="N172" s="11"/>
      <x:c r="O172" s="15"/>
      <x:c r="P172" s="15"/>
      <x:c r="Q172" s="11"/>
      <x:c r="R172" s="11"/>
      <x:c r="S172" s="17"/>
      <x:c r="T172" s="17" t="str">
        <x:f>IF(J172="","",J172-S172)</x:f>
      </x:c>
      <x:c r="U172" s="11"/>
    </x:row>
    <x:row r="173">
      <x:c r="A173" s="15"/>
      <x:c r="B173" s="11" t="str">
        <x:f>IF(A173="","",TEXT(A173,"yyyy-mm"))</x:f>
      </x:c>
      <x:c r="C173" s="11"/>
      <x:c r="D173" s="11"/>
      <x:c r="E173" s="11"/>
      <x:c r="F173" s="11"/>
      <x:c r="G173" s="11"/>
      <x:c r="H173" s="17"/>
      <x:c r="I173" s="17"/>
      <x:c r="J173" s="17" t="str">
        <x:f>IF(H173="","",H173*I173)</x:f>
      </x:c>
      <x:c r="K173" s="11"/>
      <x:c r="L173" s="17" t="n">
        <x:f>IF(OR(J173="",K173&lt;&gt;"VAT_APPLICABLE"),0,J173*0.1)</x:f>
        <x:v>0</x:v>
      </x:c>
      <x:c r="M173" s="17" t="str">
        <x:f>IF(J173="","",J173+L173)</x:f>
      </x:c>
      <x:c r="N173" s="11"/>
      <x:c r="O173" s="15"/>
      <x:c r="P173" s="15"/>
      <x:c r="Q173" s="11"/>
      <x:c r="R173" s="11"/>
      <x:c r="S173" s="17"/>
      <x:c r="T173" s="17" t="str">
        <x:f>IF(J173="","",J173-S173)</x:f>
      </x:c>
      <x:c r="U173" s="11"/>
    </x:row>
    <x:row r="174">
      <x:c r="A174" s="15"/>
      <x:c r="B174" s="11" t="str">
        <x:f>IF(A174="","",TEXT(A174,"yyyy-mm"))</x:f>
      </x:c>
      <x:c r="C174" s="11"/>
      <x:c r="D174" s="11"/>
      <x:c r="E174" s="11"/>
      <x:c r="F174" s="11"/>
      <x:c r="G174" s="11"/>
      <x:c r="H174" s="17"/>
      <x:c r="I174" s="17"/>
      <x:c r="J174" s="17" t="str">
        <x:f>IF(H174="","",H174*I174)</x:f>
      </x:c>
      <x:c r="K174" s="11"/>
      <x:c r="L174" s="17" t="n">
        <x:f>IF(OR(J174="",K174&lt;&gt;"VAT_APPLICABLE"),0,J174*0.1)</x:f>
        <x:v>0</x:v>
      </x:c>
      <x:c r="M174" s="17" t="str">
        <x:f>IF(J174="","",J174+L174)</x:f>
      </x:c>
      <x:c r="N174" s="11"/>
      <x:c r="O174" s="15"/>
      <x:c r="P174" s="15"/>
      <x:c r="Q174" s="11"/>
      <x:c r="R174" s="11"/>
      <x:c r="S174" s="17"/>
      <x:c r="T174" s="17" t="str">
        <x:f>IF(J174="","",J174-S174)</x:f>
      </x:c>
      <x:c r="U174" s="11"/>
    </x:row>
    <x:row r="175">
      <x:c r="A175" s="15"/>
      <x:c r="B175" s="11" t="str">
        <x:f>IF(A175="","",TEXT(A175,"yyyy-mm"))</x:f>
      </x:c>
      <x:c r="C175" s="11"/>
      <x:c r="D175" s="11"/>
      <x:c r="E175" s="11"/>
      <x:c r="F175" s="11"/>
      <x:c r="G175" s="11"/>
      <x:c r="H175" s="17"/>
      <x:c r="I175" s="17"/>
      <x:c r="J175" s="17" t="str">
        <x:f>IF(H175="","",H175*I175)</x:f>
      </x:c>
      <x:c r="K175" s="11"/>
      <x:c r="L175" s="17" t="n">
        <x:f>IF(OR(J175="",K175&lt;&gt;"VAT_APPLICABLE"),0,J175*0.1)</x:f>
        <x:v>0</x:v>
      </x:c>
      <x:c r="M175" s="17" t="str">
        <x:f>IF(J175="","",J175+L175)</x:f>
      </x:c>
      <x:c r="N175" s="11"/>
      <x:c r="O175" s="15"/>
      <x:c r="P175" s="15"/>
      <x:c r="Q175" s="11"/>
      <x:c r="R175" s="11"/>
      <x:c r="S175" s="17"/>
      <x:c r="T175" s="17" t="str">
        <x:f>IF(J175="","",J175-S175)</x:f>
      </x:c>
      <x:c r="U175" s="11"/>
    </x:row>
    <x:row r="176">
      <x:c r="A176" s="15"/>
      <x:c r="B176" s="11" t="str">
        <x:f>IF(A176="","",TEXT(A176,"yyyy-mm"))</x:f>
      </x:c>
      <x:c r="C176" s="11"/>
      <x:c r="D176" s="11"/>
      <x:c r="E176" s="11"/>
      <x:c r="F176" s="11"/>
      <x:c r="G176" s="11"/>
      <x:c r="H176" s="17"/>
      <x:c r="I176" s="17"/>
      <x:c r="J176" s="17" t="str">
        <x:f>IF(H176="","",H176*I176)</x:f>
      </x:c>
      <x:c r="K176" s="11"/>
      <x:c r="L176" s="17" t="n">
        <x:f>IF(OR(J176="",K176&lt;&gt;"VAT_APPLICABLE"),0,J176*0.1)</x:f>
        <x:v>0</x:v>
      </x:c>
      <x:c r="M176" s="17" t="str">
        <x:f>IF(J176="","",J176+L176)</x:f>
      </x:c>
      <x:c r="N176" s="11"/>
      <x:c r="O176" s="15"/>
      <x:c r="P176" s="15"/>
      <x:c r="Q176" s="11"/>
      <x:c r="R176" s="11"/>
      <x:c r="S176" s="17"/>
      <x:c r="T176" s="17" t="str">
        <x:f>IF(J176="","",J176-S176)</x:f>
      </x:c>
      <x:c r="U176" s="11"/>
    </x:row>
    <x:row r="177">
      <x:c r="A177" s="15"/>
      <x:c r="B177" s="11" t="str">
        <x:f>IF(A177="","",TEXT(A177,"yyyy-mm"))</x:f>
      </x:c>
      <x:c r="C177" s="11"/>
      <x:c r="D177" s="11"/>
      <x:c r="E177" s="11"/>
      <x:c r="F177" s="11"/>
      <x:c r="G177" s="11"/>
      <x:c r="H177" s="17"/>
      <x:c r="I177" s="17"/>
      <x:c r="J177" s="17" t="str">
        <x:f>IF(H177="","",H177*I177)</x:f>
      </x:c>
      <x:c r="K177" s="11"/>
      <x:c r="L177" s="17" t="n">
        <x:f>IF(OR(J177="",K177&lt;&gt;"VAT_APPLICABLE"),0,J177*0.1)</x:f>
        <x:v>0</x:v>
      </x:c>
      <x:c r="M177" s="17" t="str">
        <x:f>IF(J177="","",J177+L177)</x:f>
      </x:c>
      <x:c r="N177" s="11"/>
      <x:c r="O177" s="15"/>
      <x:c r="P177" s="15"/>
      <x:c r="Q177" s="11"/>
      <x:c r="R177" s="11"/>
      <x:c r="S177" s="17"/>
      <x:c r="T177" s="17" t="str">
        <x:f>IF(J177="","",J177-S177)</x:f>
      </x:c>
      <x:c r="U177" s="11"/>
    </x:row>
    <x:row r="178">
      <x:c r="A178" s="15"/>
      <x:c r="B178" s="11" t="str">
        <x:f>IF(A178="","",TEXT(A178,"yyyy-mm"))</x:f>
      </x:c>
      <x:c r="C178" s="11"/>
      <x:c r="D178" s="11"/>
      <x:c r="E178" s="11"/>
      <x:c r="F178" s="11"/>
      <x:c r="G178" s="11"/>
      <x:c r="H178" s="17"/>
      <x:c r="I178" s="17"/>
      <x:c r="J178" s="17" t="str">
        <x:f>IF(H178="","",H178*I178)</x:f>
      </x:c>
      <x:c r="K178" s="11"/>
      <x:c r="L178" s="17" t="n">
        <x:f>IF(OR(J178="",K178&lt;&gt;"VAT_APPLICABLE"),0,J178*0.1)</x:f>
        <x:v>0</x:v>
      </x:c>
      <x:c r="M178" s="17" t="str">
        <x:f>IF(J178="","",J178+L178)</x:f>
      </x:c>
      <x:c r="N178" s="11"/>
      <x:c r="O178" s="15"/>
      <x:c r="P178" s="15"/>
      <x:c r="Q178" s="11"/>
      <x:c r="R178" s="11"/>
      <x:c r="S178" s="17"/>
      <x:c r="T178" s="17" t="str">
        <x:f>IF(J178="","",J178-S178)</x:f>
      </x:c>
      <x:c r="U178" s="11"/>
    </x:row>
    <x:row r="179">
      <x:c r="A179" s="15"/>
      <x:c r="B179" s="11" t="str">
        <x:f>IF(A179="","",TEXT(A179,"yyyy-mm"))</x:f>
      </x:c>
      <x:c r="C179" s="11"/>
      <x:c r="D179" s="11"/>
      <x:c r="E179" s="11"/>
      <x:c r="F179" s="11"/>
      <x:c r="G179" s="11"/>
      <x:c r="H179" s="17"/>
      <x:c r="I179" s="17"/>
      <x:c r="J179" s="17" t="str">
        <x:f>IF(H179="","",H179*I179)</x:f>
      </x:c>
      <x:c r="K179" s="11"/>
      <x:c r="L179" s="17" t="n">
        <x:f>IF(OR(J179="",K179&lt;&gt;"VAT_APPLICABLE"),0,J179*0.1)</x:f>
        <x:v>0</x:v>
      </x:c>
      <x:c r="M179" s="17" t="str">
        <x:f>IF(J179="","",J179+L179)</x:f>
      </x:c>
      <x:c r="N179" s="11"/>
      <x:c r="O179" s="15"/>
      <x:c r="P179" s="15"/>
      <x:c r="Q179" s="11"/>
      <x:c r="R179" s="11"/>
      <x:c r="S179" s="17"/>
      <x:c r="T179" s="17" t="str">
        <x:f>IF(J179="","",J179-S179)</x:f>
      </x:c>
      <x:c r="U179" s="11"/>
    </x:row>
    <x:row r="180">
      <x:c r="A180" s="15"/>
      <x:c r="B180" s="11" t="str">
        <x:f>IF(A180="","",TEXT(A180,"yyyy-mm"))</x:f>
      </x:c>
      <x:c r="C180" s="11"/>
      <x:c r="D180" s="11"/>
      <x:c r="E180" s="11"/>
      <x:c r="F180" s="11"/>
      <x:c r="G180" s="11"/>
      <x:c r="H180" s="17"/>
      <x:c r="I180" s="17"/>
      <x:c r="J180" s="17" t="str">
        <x:f>IF(H180="","",H180*I180)</x:f>
      </x:c>
      <x:c r="K180" s="11"/>
      <x:c r="L180" s="17" t="n">
        <x:f>IF(OR(J180="",K180&lt;&gt;"VAT_APPLICABLE"),0,J180*0.1)</x:f>
        <x:v>0</x:v>
      </x:c>
      <x:c r="M180" s="17" t="str">
        <x:f>IF(J180="","",J180+L180)</x:f>
      </x:c>
      <x:c r="N180" s="11"/>
      <x:c r="O180" s="15"/>
      <x:c r="P180" s="15"/>
      <x:c r="Q180" s="11"/>
      <x:c r="R180" s="11"/>
      <x:c r="S180" s="17"/>
      <x:c r="T180" s="17" t="str">
        <x:f>IF(J180="","",J180-S180)</x:f>
      </x:c>
      <x:c r="U180" s="11"/>
    </x:row>
    <x:row r="181">
      <x:c r="A181" s="15"/>
      <x:c r="B181" s="11" t="str">
        <x:f>IF(A181="","",TEXT(A181,"yyyy-mm"))</x:f>
      </x:c>
      <x:c r="C181" s="11"/>
      <x:c r="D181" s="11"/>
      <x:c r="E181" s="11"/>
      <x:c r="F181" s="11"/>
      <x:c r="G181" s="11"/>
      <x:c r="H181" s="17"/>
      <x:c r="I181" s="17"/>
      <x:c r="J181" s="17" t="str">
        <x:f>IF(H181="","",H181*I181)</x:f>
      </x:c>
      <x:c r="K181" s="11"/>
      <x:c r="L181" s="17" t="n">
        <x:f>IF(OR(J181="",K181&lt;&gt;"VAT_APPLICABLE"),0,J181*0.1)</x:f>
        <x:v>0</x:v>
      </x:c>
      <x:c r="M181" s="17" t="str">
        <x:f>IF(J181="","",J181+L181)</x:f>
      </x:c>
      <x:c r="N181" s="11"/>
      <x:c r="O181" s="15"/>
      <x:c r="P181" s="15"/>
      <x:c r="Q181" s="11"/>
      <x:c r="R181" s="11"/>
      <x:c r="S181" s="17"/>
      <x:c r="T181" s="17" t="str">
        <x:f>IF(J181="","",J181-S181)</x:f>
      </x:c>
      <x:c r="U181" s="11"/>
    </x:row>
    <x:row r="182">
      <x:c r="A182" s="15"/>
      <x:c r="B182" s="11" t="str">
        <x:f>IF(A182="","",TEXT(A182,"yyyy-mm"))</x:f>
      </x:c>
      <x:c r="C182" s="11"/>
      <x:c r="D182" s="11"/>
      <x:c r="E182" s="11"/>
      <x:c r="F182" s="11"/>
      <x:c r="G182" s="11"/>
      <x:c r="H182" s="17"/>
      <x:c r="I182" s="17"/>
      <x:c r="J182" s="17" t="str">
        <x:f>IF(H182="","",H182*I182)</x:f>
      </x:c>
      <x:c r="K182" s="11"/>
      <x:c r="L182" s="17" t="n">
        <x:f>IF(OR(J182="",K182&lt;&gt;"VAT_APPLICABLE"),0,J182*0.1)</x:f>
        <x:v>0</x:v>
      </x:c>
      <x:c r="M182" s="17" t="str">
        <x:f>IF(J182="","",J182+L182)</x:f>
      </x:c>
      <x:c r="N182" s="11"/>
      <x:c r="O182" s="15"/>
      <x:c r="P182" s="15"/>
      <x:c r="Q182" s="11"/>
      <x:c r="R182" s="11"/>
      <x:c r="S182" s="17"/>
      <x:c r="T182" s="17" t="str">
        <x:f>IF(J182="","",J182-S182)</x:f>
      </x:c>
      <x:c r="U182" s="11"/>
    </x:row>
    <x:row r="183">
      <x:c r="A183" s="15"/>
      <x:c r="B183" s="11" t="str">
        <x:f>IF(A183="","",TEXT(A183,"yyyy-mm"))</x:f>
      </x:c>
      <x:c r="C183" s="11"/>
      <x:c r="D183" s="11"/>
      <x:c r="E183" s="11"/>
      <x:c r="F183" s="11"/>
      <x:c r="G183" s="11"/>
      <x:c r="H183" s="17"/>
      <x:c r="I183" s="17"/>
      <x:c r="J183" s="17" t="str">
        <x:f>IF(H183="","",H183*I183)</x:f>
      </x:c>
      <x:c r="K183" s="11"/>
      <x:c r="L183" s="17" t="n">
        <x:f>IF(OR(J183="",K183&lt;&gt;"VAT_APPLICABLE"),0,J183*0.1)</x:f>
        <x:v>0</x:v>
      </x:c>
      <x:c r="M183" s="17" t="str">
        <x:f>IF(J183="","",J183+L183)</x:f>
      </x:c>
      <x:c r="N183" s="11"/>
      <x:c r="O183" s="15"/>
      <x:c r="P183" s="15"/>
      <x:c r="Q183" s="11"/>
      <x:c r="R183" s="11"/>
      <x:c r="S183" s="17"/>
      <x:c r="T183" s="17" t="str">
        <x:f>IF(J183="","",J183-S183)</x:f>
      </x:c>
      <x:c r="U183" s="11"/>
    </x:row>
    <x:row r="184">
      <x:c r="A184" s="15"/>
      <x:c r="B184" s="11" t="str">
        <x:f>IF(A184="","",TEXT(A184,"yyyy-mm"))</x:f>
      </x:c>
      <x:c r="C184" s="11"/>
      <x:c r="D184" s="11"/>
      <x:c r="E184" s="11"/>
      <x:c r="F184" s="11"/>
      <x:c r="G184" s="11"/>
      <x:c r="H184" s="17"/>
      <x:c r="I184" s="17"/>
      <x:c r="J184" s="17" t="str">
        <x:f>IF(H184="","",H184*I184)</x:f>
      </x:c>
      <x:c r="K184" s="11"/>
      <x:c r="L184" s="17" t="n">
        <x:f>IF(OR(J184="",K184&lt;&gt;"VAT_APPLICABLE"),0,J184*0.1)</x:f>
        <x:v>0</x:v>
      </x:c>
      <x:c r="M184" s="17" t="str">
        <x:f>IF(J184="","",J184+L184)</x:f>
      </x:c>
      <x:c r="N184" s="11"/>
      <x:c r="O184" s="15"/>
      <x:c r="P184" s="15"/>
      <x:c r="Q184" s="11"/>
      <x:c r="R184" s="11"/>
      <x:c r="S184" s="17"/>
      <x:c r="T184" s="17" t="str">
        <x:f>IF(J184="","",J184-S184)</x:f>
      </x:c>
      <x:c r="U184" s="11"/>
    </x:row>
    <x:row r="185">
      <x:c r="A185" s="15"/>
      <x:c r="B185" s="11" t="str">
        <x:f>IF(A185="","",TEXT(A185,"yyyy-mm"))</x:f>
      </x:c>
      <x:c r="C185" s="11"/>
      <x:c r="D185" s="11"/>
      <x:c r="E185" s="11"/>
      <x:c r="F185" s="11"/>
      <x:c r="G185" s="11"/>
      <x:c r="H185" s="17"/>
      <x:c r="I185" s="17"/>
      <x:c r="J185" s="17" t="str">
        <x:f>IF(H185="","",H185*I185)</x:f>
      </x:c>
      <x:c r="K185" s="11"/>
      <x:c r="L185" s="17" t="n">
        <x:f>IF(OR(J185="",K185&lt;&gt;"VAT_APPLICABLE"),0,J185*0.1)</x:f>
        <x:v>0</x:v>
      </x:c>
      <x:c r="M185" s="17" t="str">
        <x:f>IF(J185="","",J185+L185)</x:f>
      </x:c>
      <x:c r="N185" s="11"/>
      <x:c r="O185" s="15"/>
      <x:c r="P185" s="15"/>
      <x:c r="Q185" s="11"/>
      <x:c r="R185" s="11"/>
      <x:c r="S185" s="17"/>
      <x:c r="T185" s="17" t="str">
        <x:f>IF(J185="","",J185-S185)</x:f>
      </x:c>
      <x:c r="U185" s="11"/>
    </x:row>
    <x:row r="186">
      <x:c r="A186" s="15"/>
      <x:c r="B186" s="11" t="str">
        <x:f>IF(A186="","",TEXT(A186,"yyyy-mm"))</x:f>
      </x:c>
      <x:c r="C186" s="11"/>
      <x:c r="D186" s="11"/>
      <x:c r="E186" s="11"/>
      <x:c r="F186" s="11"/>
      <x:c r="G186" s="11"/>
      <x:c r="H186" s="17"/>
      <x:c r="I186" s="17"/>
      <x:c r="J186" s="17" t="str">
        <x:f>IF(H186="","",H186*I186)</x:f>
      </x:c>
      <x:c r="K186" s="11"/>
      <x:c r="L186" s="17" t="n">
        <x:f>IF(OR(J186="",K186&lt;&gt;"VAT_APPLICABLE"),0,J186*0.1)</x:f>
        <x:v>0</x:v>
      </x:c>
      <x:c r="M186" s="17" t="str">
        <x:f>IF(J186="","",J186+L186)</x:f>
      </x:c>
      <x:c r="N186" s="11"/>
      <x:c r="O186" s="15"/>
      <x:c r="P186" s="15"/>
      <x:c r="Q186" s="11"/>
      <x:c r="R186" s="11"/>
      <x:c r="S186" s="17"/>
      <x:c r="T186" s="17" t="str">
        <x:f>IF(J186="","",J186-S186)</x:f>
      </x:c>
      <x:c r="U186" s="11"/>
    </x:row>
    <x:row r="187">
      <x:c r="A187" s="15"/>
      <x:c r="B187" s="11" t="str">
        <x:f>IF(A187="","",TEXT(A187,"yyyy-mm"))</x:f>
      </x:c>
      <x:c r="C187" s="11"/>
      <x:c r="D187" s="11"/>
      <x:c r="E187" s="11"/>
      <x:c r="F187" s="11"/>
      <x:c r="G187" s="11"/>
      <x:c r="H187" s="17"/>
      <x:c r="I187" s="17"/>
      <x:c r="J187" s="17" t="str">
        <x:f>IF(H187="","",H187*I187)</x:f>
      </x:c>
      <x:c r="K187" s="11"/>
      <x:c r="L187" s="17" t="n">
        <x:f>IF(OR(J187="",K187&lt;&gt;"VAT_APPLICABLE"),0,J187*0.1)</x:f>
        <x:v>0</x:v>
      </x:c>
      <x:c r="M187" s="17" t="str">
        <x:f>IF(J187="","",J187+L187)</x:f>
      </x:c>
      <x:c r="N187" s="11"/>
      <x:c r="O187" s="15"/>
      <x:c r="P187" s="15"/>
      <x:c r="Q187" s="11"/>
      <x:c r="R187" s="11"/>
      <x:c r="S187" s="17"/>
      <x:c r="T187" s="17" t="str">
        <x:f>IF(J187="","",J187-S187)</x:f>
      </x:c>
      <x:c r="U187" s="11"/>
    </x:row>
    <x:row r="188">
      <x:c r="A188" s="15"/>
      <x:c r="B188" s="11" t="str">
        <x:f>IF(A188="","",TEXT(A188,"yyyy-mm"))</x:f>
      </x:c>
      <x:c r="C188" s="11"/>
      <x:c r="D188" s="11"/>
      <x:c r="E188" s="11"/>
      <x:c r="F188" s="11"/>
      <x:c r="G188" s="11"/>
      <x:c r="H188" s="17"/>
      <x:c r="I188" s="17"/>
      <x:c r="J188" s="17" t="str">
        <x:f>IF(H188="","",H188*I188)</x:f>
      </x:c>
      <x:c r="K188" s="11"/>
      <x:c r="L188" s="17" t="n">
        <x:f>IF(OR(J188="",K188&lt;&gt;"VAT_APPLICABLE"),0,J188*0.1)</x:f>
        <x:v>0</x:v>
      </x:c>
      <x:c r="M188" s="17" t="str">
        <x:f>IF(J188="","",J188+L188)</x:f>
      </x:c>
      <x:c r="N188" s="11"/>
      <x:c r="O188" s="15"/>
      <x:c r="P188" s="15"/>
      <x:c r="Q188" s="11"/>
      <x:c r="R188" s="11"/>
      <x:c r="S188" s="17"/>
      <x:c r="T188" s="17" t="str">
        <x:f>IF(J188="","",J188-S188)</x:f>
      </x:c>
      <x:c r="U188" s="11"/>
    </x:row>
    <x:row r="189">
      <x:c r="A189" s="15"/>
      <x:c r="B189" s="11" t="str">
        <x:f>IF(A189="","",TEXT(A189,"yyyy-mm"))</x:f>
      </x:c>
      <x:c r="C189" s="11"/>
      <x:c r="D189" s="11"/>
      <x:c r="E189" s="11"/>
      <x:c r="F189" s="11"/>
      <x:c r="G189" s="11"/>
      <x:c r="H189" s="17"/>
      <x:c r="I189" s="17"/>
      <x:c r="J189" s="17" t="str">
        <x:f>IF(H189="","",H189*I189)</x:f>
      </x:c>
      <x:c r="K189" s="11"/>
      <x:c r="L189" s="17" t="n">
        <x:f>IF(OR(J189="",K189&lt;&gt;"VAT_APPLICABLE"),0,J189*0.1)</x:f>
        <x:v>0</x:v>
      </x:c>
      <x:c r="M189" s="17" t="str">
        <x:f>IF(J189="","",J189+L189)</x:f>
      </x:c>
      <x:c r="N189" s="11"/>
      <x:c r="O189" s="15"/>
      <x:c r="P189" s="15"/>
      <x:c r="Q189" s="11"/>
      <x:c r="R189" s="11"/>
      <x:c r="S189" s="17"/>
      <x:c r="T189" s="17" t="str">
        <x:f>IF(J189="","",J189-S189)</x:f>
      </x:c>
      <x:c r="U189" s="11"/>
    </x:row>
    <x:row r="190">
      <x:c r="A190" s="15"/>
      <x:c r="B190" s="11" t="str">
        <x:f>IF(A190="","",TEXT(A190,"yyyy-mm"))</x:f>
      </x:c>
      <x:c r="C190" s="11"/>
      <x:c r="D190" s="11"/>
      <x:c r="E190" s="11"/>
      <x:c r="F190" s="11"/>
      <x:c r="G190" s="11"/>
      <x:c r="H190" s="17"/>
      <x:c r="I190" s="17"/>
      <x:c r="J190" s="17" t="str">
        <x:f>IF(H190="","",H190*I190)</x:f>
      </x:c>
      <x:c r="K190" s="11"/>
      <x:c r="L190" s="17" t="n">
        <x:f>IF(OR(J190="",K190&lt;&gt;"VAT_APPLICABLE"),0,J190*0.1)</x:f>
        <x:v>0</x:v>
      </x:c>
      <x:c r="M190" s="17" t="str">
        <x:f>IF(J190="","",J190+L190)</x:f>
      </x:c>
      <x:c r="N190" s="11"/>
      <x:c r="O190" s="15"/>
      <x:c r="P190" s="15"/>
      <x:c r="Q190" s="11"/>
      <x:c r="R190" s="11"/>
      <x:c r="S190" s="17"/>
      <x:c r="T190" s="17" t="str">
        <x:f>IF(J190="","",J190-S190)</x:f>
      </x:c>
      <x:c r="U190" s="11"/>
    </x:row>
    <x:row r="191">
      <x:c r="A191" s="15"/>
      <x:c r="B191" s="11" t="str">
        <x:f>IF(A191="","",TEXT(A191,"yyyy-mm"))</x:f>
      </x:c>
      <x:c r="C191" s="11"/>
      <x:c r="D191" s="11"/>
      <x:c r="E191" s="11"/>
      <x:c r="F191" s="11"/>
      <x:c r="G191" s="11"/>
      <x:c r="H191" s="17"/>
      <x:c r="I191" s="17"/>
      <x:c r="J191" s="17" t="str">
        <x:f>IF(H191="","",H191*I191)</x:f>
      </x:c>
      <x:c r="K191" s="11"/>
      <x:c r="L191" s="17" t="n">
        <x:f>IF(OR(J191="",K191&lt;&gt;"VAT_APPLICABLE"),0,J191*0.1)</x:f>
        <x:v>0</x:v>
      </x:c>
      <x:c r="M191" s="17" t="str">
        <x:f>IF(J191="","",J191+L191)</x:f>
      </x:c>
      <x:c r="N191" s="11"/>
      <x:c r="O191" s="15"/>
      <x:c r="P191" s="15"/>
      <x:c r="Q191" s="11"/>
      <x:c r="R191" s="11"/>
      <x:c r="S191" s="17"/>
      <x:c r="T191" s="17" t="str">
        <x:f>IF(J191="","",J191-S191)</x:f>
      </x:c>
      <x:c r="U191" s="11"/>
    </x:row>
    <x:row r="192">
      <x:c r="A192" s="15"/>
      <x:c r="B192" s="11" t="str">
        <x:f>IF(A192="","",TEXT(A192,"yyyy-mm"))</x:f>
      </x:c>
      <x:c r="C192" s="11"/>
      <x:c r="D192" s="11"/>
      <x:c r="E192" s="11"/>
      <x:c r="F192" s="11"/>
      <x:c r="G192" s="11"/>
      <x:c r="H192" s="17"/>
      <x:c r="I192" s="17"/>
      <x:c r="J192" s="17" t="str">
        <x:f>IF(H192="","",H192*I192)</x:f>
      </x:c>
      <x:c r="K192" s="11"/>
      <x:c r="L192" s="17" t="n">
        <x:f>IF(OR(J192="",K192&lt;&gt;"VAT_APPLICABLE"),0,J192*0.1)</x:f>
        <x:v>0</x:v>
      </x:c>
      <x:c r="M192" s="17" t="str">
        <x:f>IF(J192="","",J192+L192)</x:f>
      </x:c>
      <x:c r="N192" s="11"/>
      <x:c r="O192" s="15"/>
      <x:c r="P192" s="15"/>
      <x:c r="Q192" s="11"/>
      <x:c r="R192" s="11"/>
      <x:c r="S192" s="17"/>
      <x:c r="T192" s="17" t="str">
        <x:f>IF(J192="","",J192-S192)</x:f>
      </x:c>
      <x:c r="U192" s="11"/>
    </x:row>
    <x:row r="193">
      <x:c r="A193" s="15"/>
      <x:c r="B193" s="11" t="str">
        <x:f>IF(A193="","",TEXT(A193,"yyyy-mm"))</x:f>
      </x:c>
      <x:c r="C193" s="11"/>
      <x:c r="D193" s="11"/>
      <x:c r="E193" s="11"/>
      <x:c r="F193" s="11"/>
      <x:c r="G193" s="11"/>
      <x:c r="H193" s="17"/>
      <x:c r="I193" s="17"/>
      <x:c r="J193" s="17" t="str">
        <x:f>IF(H193="","",H193*I193)</x:f>
      </x:c>
      <x:c r="K193" s="11"/>
      <x:c r="L193" s="17" t="n">
        <x:f>IF(OR(J193="",K193&lt;&gt;"VAT_APPLICABLE"),0,J193*0.1)</x:f>
        <x:v>0</x:v>
      </x:c>
      <x:c r="M193" s="17" t="str">
        <x:f>IF(J193="","",J193+L193)</x:f>
      </x:c>
      <x:c r="N193" s="11"/>
      <x:c r="O193" s="15"/>
      <x:c r="P193" s="15"/>
      <x:c r="Q193" s="11"/>
      <x:c r="R193" s="11"/>
      <x:c r="S193" s="17"/>
      <x:c r="T193" s="17" t="str">
        <x:f>IF(J193="","",J193-S193)</x:f>
      </x:c>
      <x:c r="U193" s="11"/>
    </x:row>
    <x:row r="194">
      <x:c r="A194" s="15"/>
      <x:c r="B194" s="11" t="str">
        <x:f>IF(A194="","",TEXT(A194,"yyyy-mm"))</x:f>
      </x:c>
      <x:c r="C194" s="11"/>
      <x:c r="D194" s="11"/>
      <x:c r="E194" s="11"/>
      <x:c r="F194" s="11"/>
      <x:c r="G194" s="11"/>
      <x:c r="H194" s="17"/>
      <x:c r="I194" s="17"/>
      <x:c r="J194" s="17" t="str">
        <x:f>IF(H194="","",H194*I194)</x:f>
      </x:c>
      <x:c r="K194" s="11"/>
      <x:c r="L194" s="17" t="n">
        <x:f>IF(OR(J194="",K194&lt;&gt;"VAT_APPLICABLE"),0,J194*0.1)</x:f>
        <x:v>0</x:v>
      </x:c>
      <x:c r="M194" s="17" t="str">
        <x:f>IF(J194="","",J194+L194)</x:f>
      </x:c>
      <x:c r="N194" s="11"/>
      <x:c r="O194" s="15"/>
      <x:c r="P194" s="15"/>
      <x:c r="Q194" s="11"/>
      <x:c r="R194" s="11"/>
      <x:c r="S194" s="17"/>
      <x:c r="T194" s="17" t="str">
        <x:f>IF(J194="","",J194-S194)</x:f>
      </x:c>
      <x:c r="U194" s="11"/>
    </x:row>
    <x:row r="195">
      <x:c r="A195" s="15"/>
      <x:c r="B195" s="11" t="str">
        <x:f>IF(A195="","",TEXT(A195,"yyyy-mm"))</x:f>
      </x:c>
      <x:c r="C195" s="11"/>
      <x:c r="D195" s="11"/>
      <x:c r="E195" s="11"/>
      <x:c r="F195" s="11"/>
      <x:c r="G195" s="11"/>
      <x:c r="H195" s="17"/>
      <x:c r="I195" s="17"/>
      <x:c r="J195" s="17" t="str">
        <x:f>IF(H195="","",H195*I195)</x:f>
      </x:c>
      <x:c r="K195" s="11"/>
      <x:c r="L195" s="17" t="n">
        <x:f>IF(OR(J195="",K195&lt;&gt;"VAT_APPLICABLE"),0,J195*0.1)</x:f>
        <x:v>0</x:v>
      </x:c>
      <x:c r="M195" s="17" t="str">
        <x:f>IF(J195="","",J195+L195)</x:f>
      </x:c>
      <x:c r="N195" s="11"/>
      <x:c r="O195" s="15"/>
      <x:c r="P195" s="15"/>
      <x:c r="Q195" s="11"/>
      <x:c r="R195" s="11"/>
      <x:c r="S195" s="17"/>
      <x:c r="T195" s="17" t="str">
        <x:f>IF(J195="","",J195-S195)</x:f>
      </x:c>
      <x:c r="U195" s="11"/>
    </x:row>
    <x:row r="196">
      <x:c r="A196" s="15"/>
      <x:c r="B196" s="11" t="str">
        <x:f>IF(A196="","",TEXT(A196,"yyyy-mm"))</x:f>
      </x:c>
      <x:c r="C196" s="11"/>
      <x:c r="D196" s="11"/>
      <x:c r="E196" s="11"/>
      <x:c r="F196" s="11"/>
      <x:c r="G196" s="11"/>
      <x:c r="H196" s="17"/>
      <x:c r="I196" s="17"/>
      <x:c r="J196" s="17" t="str">
        <x:f>IF(H196="","",H196*I196)</x:f>
      </x:c>
      <x:c r="K196" s="11"/>
      <x:c r="L196" s="17" t="n">
        <x:f>IF(OR(J196="",K196&lt;&gt;"VAT_APPLICABLE"),0,J196*0.1)</x:f>
        <x:v>0</x:v>
      </x:c>
      <x:c r="M196" s="17" t="str">
        <x:f>IF(J196="","",J196+L196)</x:f>
      </x:c>
      <x:c r="N196" s="11"/>
      <x:c r="O196" s="15"/>
      <x:c r="P196" s="15"/>
      <x:c r="Q196" s="11"/>
      <x:c r="R196" s="11"/>
      <x:c r="S196" s="17"/>
      <x:c r="T196" s="17" t="str">
        <x:f>IF(J196="","",J196-S196)</x:f>
      </x:c>
      <x:c r="U196" s="11"/>
    </x:row>
    <x:row r="197">
      <x:c r="A197" s="15"/>
      <x:c r="B197" s="11" t="str">
        <x:f>IF(A197="","",TEXT(A197,"yyyy-mm"))</x:f>
      </x:c>
      <x:c r="C197" s="11"/>
      <x:c r="D197" s="11"/>
      <x:c r="E197" s="11"/>
      <x:c r="F197" s="11"/>
      <x:c r="G197" s="11"/>
      <x:c r="H197" s="17"/>
      <x:c r="I197" s="17"/>
      <x:c r="J197" s="17" t="str">
        <x:f>IF(H197="","",H197*I197)</x:f>
      </x:c>
      <x:c r="K197" s="11"/>
      <x:c r="L197" s="17" t="n">
        <x:f>IF(OR(J197="",K197&lt;&gt;"VAT_APPLICABLE"),0,J197*0.1)</x:f>
        <x:v>0</x:v>
      </x:c>
      <x:c r="M197" s="17" t="str">
        <x:f>IF(J197="","",J197+L197)</x:f>
      </x:c>
      <x:c r="N197" s="11"/>
      <x:c r="O197" s="15"/>
      <x:c r="P197" s="15"/>
      <x:c r="Q197" s="11"/>
      <x:c r="R197" s="11"/>
      <x:c r="S197" s="17"/>
      <x:c r="T197" s="17" t="str">
        <x:f>IF(J197="","",J197-S197)</x:f>
      </x:c>
      <x:c r="U197" s="11"/>
    </x:row>
    <x:row r="198">
      <x:c r="A198" s="15"/>
      <x:c r="B198" s="11" t="str">
        <x:f>IF(A198="","",TEXT(A198,"yyyy-mm"))</x:f>
      </x:c>
      <x:c r="C198" s="11"/>
      <x:c r="D198" s="11"/>
      <x:c r="E198" s="11"/>
      <x:c r="F198" s="11"/>
      <x:c r="G198" s="11"/>
      <x:c r="H198" s="17"/>
      <x:c r="I198" s="17"/>
      <x:c r="J198" s="17" t="str">
        <x:f>IF(H198="","",H198*I198)</x:f>
      </x:c>
      <x:c r="K198" s="11"/>
      <x:c r="L198" s="17" t="n">
        <x:f>IF(OR(J198="",K198&lt;&gt;"VAT_APPLICABLE"),0,J198*0.1)</x:f>
        <x:v>0</x:v>
      </x:c>
      <x:c r="M198" s="17" t="str">
        <x:f>IF(J198="","",J198+L198)</x:f>
      </x:c>
      <x:c r="N198" s="11"/>
      <x:c r="O198" s="15"/>
      <x:c r="P198" s="15"/>
      <x:c r="Q198" s="11"/>
      <x:c r="R198" s="11"/>
      <x:c r="S198" s="17"/>
      <x:c r="T198" s="17" t="str">
        <x:f>IF(J198="","",J198-S198)</x:f>
      </x:c>
      <x:c r="U198" s="11"/>
    </x:row>
    <x:row r="199">
      <x:c r="A199" s="15"/>
      <x:c r="B199" s="11" t="str">
        <x:f>IF(A199="","",TEXT(A199,"yyyy-mm"))</x:f>
      </x:c>
      <x:c r="C199" s="11"/>
      <x:c r="D199" s="11"/>
      <x:c r="E199" s="11"/>
      <x:c r="F199" s="11"/>
      <x:c r="G199" s="11"/>
      <x:c r="H199" s="17"/>
      <x:c r="I199" s="17"/>
      <x:c r="J199" s="17" t="str">
        <x:f>IF(H199="","",H199*I199)</x:f>
      </x:c>
      <x:c r="K199" s="11"/>
      <x:c r="L199" s="17" t="n">
        <x:f>IF(OR(J199="",K199&lt;&gt;"VAT_APPLICABLE"),0,J199*0.1)</x:f>
        <x:v>0</x:v>
      </x:c>
      <x:c r="M199" s="17" t="str">
        <x:f>IF(J199="","",J199+L199)</x:f>
      </x:c>
      <x:c r="N199" s="11"/>
      <x:c r="O199" s="15"/>
      <x:c r="P199" s="15"/>
      <x:c r="Q199" s="11"/>
      <x:c r="R199" s="11"/>
      <x:c r="S199" s="17"/>
      <x:c r="T199" s="17" t="str">
        <x:f>IF(J199="","",J199-S199)</x:f>
      </x:c>
      <x:c r="U199" s="11"/>
    </x:row>
    <x:row r="200">
      <x:c r="A200" s="15"/>
      <x:c r="B200" s="11" t="str">
        <x:f>IF(A200="","",TEXT(A200,"yyyy-mm"))</x:f>
      </x:c>
      <x:c r="C200" s="11"/>
      <x:c r="D200" s="11"/>
      <x:c r="E200" s="11"/>
      <x:c r="F200" s="11"/>
      <x:c r="G200" s="11"/>
      <x:c r="H200" s="17"/>
      <x:c r="I200" s="17"/>
      <x:c r="J200" s="17" t="str">
        <x:f>IF(H200="","",H200*I200)</x:f>
      </x:c>
      <x:c r="K200" s="11"/>
      <x:c r="L200" s="17" t="n">
        <x:f>IF(OR(J200="",K200&lt;&gt;"VAT_APPLICABLE"),0,J200*0.1)</x:f>
        <x:v>0</x:v>
      </x:c>
      <x:c r="M200" s="17" t="str">
        <x:f>IF(J200="","",J200+L200)</x:f>
      </x:c>
      <x:c r="N200" s="11"/>
      <x:c r="O200" s="15"/>
      <x:c r="P200" s="15"/>
      <x:c r="Q200" s="11"/>
      <x:c r="R200" s="11"/>
      <x:c r="S200" s="17"/>
      <x:c r="T200" s="17" t="str">
        <x:f>IF(J200="","",J200-S200)</x:f>
      </x:c>
      <x:c r="U200" s="11"/>
    </x:row>
  </x:sheetData>
  <x:dataValidations count="3">
    <x:dataValidation type="list" sqref="E2:E200">
      <x:formula1>"B2B_SERVICE,DIGITAL_PDF,PDF_MEMBERSHIP,VIDEO_COURSE,VIDEO_MEMBERSHIP"</x:formula1>
    </x:dataValidation>
    <x:dataValidation type="list" sqref="K2:K200">
      <x:formula1>"VAT_APPLICABLE,OVERSEAS_REVIEW,EXEMPT_REVIEW"</x:formula1>
    </x:dataValidation>
    <x:dataValidation type="list" sqref="Q2:Q200">
      <x:formula1>"PENDING,PAID,CANCELLED,REFUNDED"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6" hidden="0" customWidth="1"/>
    <x:col min="5" max="5" width="27" hidden="0" customWidth="1"/>
    <x:col min="6" max="6" width="9" hidden="0" customWidth="1"/>
    <x:col min="7" max="7" width="15" hidden="0" customWidth="1"/>
    <x:col min="8" max="8" width="10" hidden="0" customWidth="1"/>
    <x:col min="9" max="9" width="14" hidden="0" customWidth="1"/>
    <x:col min="10" max="10" width="14" hidden="0" customWidth="1"/>
    <x:col min="11" max="11" width="15" hidden="0" customWidth="1"/>
    <x:col min="12" max="12" width="18" hidden="0" customWidth="1"/>
    <x:col min="13" max="13" width="18" hidden="0" customWidth="1"/>
    <x:col min="14" max="14" width="22" hidden="0" customWidth="1"/>
  </x:cols>
  <x:sheetData>
    <x:row r="1">
      <x:c r="A1" s="5" t="str">
        <x:v>지출일</x:v>
      </x:c>
      <x:c r="B1" s="5" t="str">
        <x:v>월</x:v>
      </x:c>
      <x:c r="C1" s="5" t="str">
        <x:v>공급자</x:v>
      </x:c>
      <x:c r="D1" s="5" t="str">
        <x:v>비용유형</x:v>
      </x:c>
      <x:c r="E1" s="5" t="str">
        <x:v>비용내용</x:v>
      </x:c>
      <x:c r="F1" s="5" t="str">
        <x:v>통화</x:v>
      </x:c>
      <x:c r="G1" s="5" t="str">
        <x:v>지출액(현지)</x:v>
      </x:c>
      <x:c r="H1" s="5" t="str">
        <x:v>환율</x:v>
      </x:c>
      <x:c r="I1" s="5" t="str">
        <x:v>원화비용</x:v>
      </x:c>
      <x:c r="J1" s="5" t="str">
        <x:v>공제가능 VAT</x:v>
      </x:c>
      <x:c r="K1" s="5" t="str">
        <x:v>결제수단</x:v>
      </x:c>
      <x:c r="L1" s="5" t="str">
        <x:v>증빙</x:v>
      </x:c>
      <x:c r="M1" s="5" t="str">
        <x:v>증빙번호</x:v>
      </x:c>
      <x:c r="N1" s="5" t="str">
        <x:v>비고</x:v>
      </x:c>
    </x:row>
    <x:row r="2">
      <x:c r="A2" s="15" t="n">
        <x:v>46204</x:v>
      </x:c>
      <x:c r="B2" s="11" t="str">
        <x:f>IF(A2="","",TEXT(A2,"yyyy-mm"))</x:f>
        <x:v>2026-07</x:v>
      </x:c>
      <x:c r="C2" s="11" t="str">
        <x:v>{{ 플랫폼/공급자 }}</x:v>
      </x:c>
      <x:c r="D2" s="11" t="str">
        <x:v>플랫폼 수수료</x:v>
      </x:c>
      <x:c r="E2" s="11" t="str">
        <x:v>디지털 콘텐츠 판매 수수료</x:v>
      </x:c>
      <x:c r="F2" s="11" t="str">
        <x:v>KRW</x:v>
      </x:c>
      <x:c r="G2" s="17" t="n">
        <x:v>0</x:v>
      </x:c>
      <x:c r="H2" s="17" t="n">
        <x:v>1</x:v>
      </x:c>
      <x:c r="I2" s="17" t="str">
        <x:f>IF(G2="","",G2*H2)</x:f>
      </x:c>
      <x:c r="J2" s="17" t="n">
        <x:v>0</x:v>
      </x:c>
      <x:c r="K2" s="11" t="str">
        <x:v>사업용 카드</x:v>
      </x:c>
      <x:c r="L2" s="11" t="str">
        <x:v>{{ 정산명세 }}</x:v>
      </x:c>
      <x:c r="M2" s="11" t="str">
        <x:v>{{ 번호 }}</x:v>
      </x:c>
      <x:c r="N2" s="11" t="str"/>
    </x:row>
    <x:row r="3">
      <x:c r="A3" s="15" t="n">
        <x:v>46205</x:v>
      </x:c>
      <x:c r="B3" s="11" t="str">
        <x:f>IF(A3="","",TEXT(A3,"yyyy-mm"))</x:f>
        <x:v>2026-07</x:v>
      </x:c>
      <x:c r="C3" s="11" t="str">
        <x:v>{{ 공급자 }}</x:v>
      </x:c>
      <x:c r="D3" s="11" t="str">
        <x:v>출장</x:v>
      </x:c>
      <x:c r="E3" s="11" t="str">
        <x:v>교통·숙박</x:v>
      </x:c>
      <x:c r="F3" s="11" t="str">
        <x:v>KRW</x:v>
      </x:c>
      <x:c r="G3" s="17" t="n">
        <x:v>0</x:v>
      </x:c>
      <x:c r="H3" s="17" t="n">
        <x:v>1</x:v>
      </x:c>
      <x:c r="I3" s="17" t="str">
        <x:f>IF(G3="","",G3*H3)</x:f>
      </x:c>
      <x:c r="J3" s="17" t="n">
        <x:v>0</x:v>
      </x:c>
      <x:c r="K3" s="11" t="str">
        <x:v>사업용 카드</x:v>
      </x:c>
      <x:c r="L3" s="11" t="str">
        <x:v>{{ 영수증 }}</x:v>
      </x:c>
      <x:c r="M3" s="11" t="str">
        <x:v>{{ 번호 }}</x:v>
      </x:c>
      <x:c r="N3" s="11" t="str"/>
    </x:row>
    <x:row r="4">
      <x:c r="A4" s="15"/>
      <x:c r="B4" s="11" t="str">
        <x:f>IF(A4="","",TEXT(A4,"yyyy-mm"))</x:f>
      </x:c>
      <x:c r="C4" s="11" t="str"/>
      <x:c r="D4" s="11" t="str"/>
      <x:c r="E4" s="11" t="str"/>
      <x:c r="F4" s="11" t="str"/>
      <x:c r="G4" s="17"/>
      <x:c r="H4" s="17"/>
      <x:c r="I4" s="17" t="str">
        <x:f>IF(G4="","",G4*H4)</x:f>
      </x:c>
      <x:c r="J4" s="17"/>
      <x:c r="K4" s="11" t="str"/>
      <x:c r="L4" s="11" t="str"/>
      <x:c r="M4" s="11" t="str"/>
      <x:c r="N4" s="11" t="str"/>
    </x:row>
    <x:row r="5">
      <x:c r="A5" s="15"/>
      <x:c r="B5" s="11" t="str">
        <x:f>IF(A5="","",TEXT(A5,"yyyy-mm"))</x:f>
      </x:c>
      <x:c r="C5" s="11" t="str"/>
      <x:c r="D5" s="11" t="str"/>
      <x:c r="E5" s="11" t="str"/>
      <x:c r="F5" s="11" t="str"/>
      <x:c r="G5" s="17"/>
      <x:c r="H5" s="17"/>
      <x:c r="I5" s="17" t="str">
        <x:f>IF(G5="","",G5*H5)</x:f>
      </x:c>
      <x:c r="J5" s="17"/>
      <x:c r="K5" s="11" t="str"/>
      <x:c r="L5" s="11" t="str"/>
      <x:c r="M5" s="11" t="str"/>
      <x:c r="N5" s="11" t="str"/>
    </x:row>
    <x:row r="6">
      <x:c r="A6" s="15"/>
      <x:c r="B6" s="11" t="str">
        <x:f>IF(A6="","",TEXT(A6,"yyyy-mm"))</x:f>
      </x:c>
      <x:c r="C6" s="11" t="str"/>
      <x:c r="D6" s="11" t="str"/>
      <x:c r="E6" s="11" t="str"/>
      <x:c r="F6" s="11" t="str"/>
      <x:c r="G6" s="17"/>
      <x:c r="H6" s="17"/>
      <x:c r="I6" s="17" t="str">
        <x:f>IF(G6="","",G6*H6)</x:f>
      </x:c>
      <x:c r="J6" s="17"/>
      <x:c r="K6" s="11" t="str"/>
      <x:c r="L6" s="11" t="str"/>
      <x:c r="M6" s="11" t="str"/>
      <x:c r="N6" s="11" t="str"/>
    </x:row>
    <x:row r="7">
      <x:c r="A7" s="15"/>
      <x:c r="B7" s="11" t="str">
        <x:f>IF(A7="","",TEXT(A7,"yyyy-mm"))</x:f>
      </x:c>
      <x:c r="C7" s="11"/>
      <x:c r="D7" s="11"/>
      <x:c r="E7" s="11"/>
      <x:c r="F7" s="11"/>
      <x:c r="G7" s="17"/>
      <x:c r="H7" s="17"/>
      <x:c r="I7" s="17" t="str">
        <x:f>IF(G7="","",G7*H7)</x:f>
      </x:c>
      <x:c r="J7" s="17"/>
      <x:c r="K7" s="11"/>
      <x:c r="L7" s="11"/>
      <x:c r="M7" s="11"/>
      <x:c r="N7" s="11"/>
    </x:row>
    <x:row r="8">
      <x:c r="A8" s="15"/>
      <x:c r="B8" s="11" t="str">
        <x:f>IF(A8="","",TEXT(A8,"yyyy-mm"))</x:f>
      </x:c>
      <x:c r="C8" s="11"/>
      <x:c r="D8" s="11"/>
      <x:c r="E8" s="11"/>
      <x:c r="F8" s="11"/>
      <x:c r="G8" s="17"/>
      <x:c r="H8" s="17"/>
      <x:c r="I8" s="17" t="str">
        <x:f>IF(G8="","",G8*H8)</x:f>
      </x:c>
      <x:c r="J8" s="17"/>
      <x:c r="K8" s="11"/>
      <x:c r="L8" s="11"/>
      <x:c r="M8" s="11"/>
      <x:c r="N8" s="11"/>
    </x:row>
    <x:row r="9">
      <x:c r="A9" s="15"/>
      <x:c r="B9" s="11" t="str">
        <x:f>IF(A9="","",TEXT(A9,"yyyy-mm"))</x:f>
      </x:c>
      <x:c r="C9" s="11"/>
      <x:c r="D9" s="11"/>
      <x:c r="E9" s="11"/>
      <x:c r="F9" s="11"/>
      <x:c r="G9" s="17"/>
      <x:c r="H9" s="17"/>
      <x:c r="I9" s="17" t="str">
        <x:f>IF(G9="","",G9*H9)</x:f>
      </x:c>
      <x:c r="J9" s="17"/>
      <x:c r="K9" s="11"/>
      <x:c r="L9" s="11"/>
      <x:c r="M9" s="11"/>
      <x:c r="N9" s="11"/>
    </x:row>
    <x:row r="10">
      <x:c r="A10" s="15"/>
      <x:c r="B10" s="11" t="str">
        <x:f>IF(A10="","",TEXT(A10,"yyyy-mm"))</x:f>
      </x:c>
      <x:c r="C10" s="11"/>
      <x:c r="D10" s="11"/>
      <x:c r="E10" s="11"/>
      <x:c r="F10" s="11"/>
      <x:c r="G10" s="17"/>
      <x:c r="H10" s="17"/>
      <x:c r="I10" s="17" t="str">
        <x:f>IF(G10="","",G10*H10)</x:f>
      </x:c>
      <x:c r="J10" s="17"/>
      <x:c r="K10" s="11"/>
      <x:c r="L10" s="11"/>
      <x:c r="M10" s="11"/>
      <x:c r="N10" s="11"/>
    </x:row>
    <x:row r="11">
      <x:c r="A11" s="15"/>
      <x:c r="B11" s="11" t="str">
        <x:f>IF(A11="","",TEXT(A11,"yyyy-mm"))</x:f>
      </x:c>
      <x:c r="C11" s="11"/>
      <x:c r="D11" s="11"/>
      <x:c r="E11" s="11"/>
      <x:c r="F11" s="11"/>
      <x:c r="G11" s="17"/>
      <x:c r="H11" s="17"/>
      <x:c r="I11" s="17" t="str">
        <x:f>IF(G11="","",G11*H11)</x:f>
      </x:c>
      <x:c r="J11" s="17"/>
      <x:c r="K11" s="11"/>
      <x:c r="L11" s="11"/>
      <x:c r="M11" s="11"/>
      <x:c r="N11" s="11"/>
    </x:row>
    <x:row r="12">
      <x:c r="A12" s="15"/>
      <x:c r="B12" s="11" t="str">
        <x:f>IF(A12="","",TEXT(A12,"yyyy-mm"))</x:f>
      </x:c>
      <x:c r="C12" s="11"/>
      <x:c r="D12" s="11"/>
      <x:c r="E12" s="11"/>
      <x:c r="F12" s="11"/>
      <x:c r="G12" s="17"/>
      <x:c r="H12" s="17"/>
      <x:c r="I12" s="17" t="str">
        <x:f>IF(G12="","",G12*H12)</x:f>
      </x:c>
      <x:c r="J12" s="17"/>
      <x:c r="K12" s="11"/>
      <x:c r="L12" s="11"/>
      <x:c r="M12" s="11"/>
      <x:c r="N12" s="11"/>
    </x:row>
    <x:row r="13">
      <x:c r="A13" s="15"/>
      <x:c r="B13" s="11" t="str">
        <x:f>IF(A13="","",TEXT(A13,"yyyy-mm"))</x:f>
      </x:c>
      <x:c r="C13" s="11"/>
      <x:c r="D13" s="11"/>
      <x:c r="E13" s="11"/>
      <x:c r="F13" s="11"/>
      <x:c r="G13" s="17"/>
      <x:c r="H13" s="17"/>
      <x:c r="I13" s="17" t="str">
        <x:f>IF(G13="","",G13*H13)</x:f>
      </x:c>
      <x:c r="J13" s="17"/>
      <x:c r="K13" s="11"/>
      <x:c r="L13" s="11"/>
      <x:c r="M13" s="11"/>
      <x:c r="N13" s="11"/>
    </x:row>
    <x:row r="14">
      <x:c r="A14" s="15"/>
      <x:c r="B14" s="11" t="str">
        <x:f>IF(A14="","",TEXT(A14,"yyyy-mm"))</x:f>
      </x:c>
      <x:c r="C14" s="11"/>
      <x:c r="D14" s="11"/>
      <x:c r="E14" s="11"/>
      <x:c r="F14" s="11"/>
      <x:c r="G14" s="17"/>
      <x:c r="H14" s="17"/>
      <x:c r="I14" s="17" t="str">
        <x:f>IF(G14="","",G14*H14)</x:f>
      </x:c>
      <x:c r="J14" s="17"/>
      <x:c r="K14" s="11"/>
      <x:c r="L14" s="11"/>
      <x:c r="M14" s="11"/>
      <x:c r="N14" s="11"/>
    </x:row>
    <x:row r="15">
      <x:c r="A15" s="15"/>
      <x:c r="B15" s="11" t="str">
        <x:f>IF(A15="","",TEXT(A15,"yyyy-mm"))</x:f>
      </x:c>
      <x:c r="C15" s="11"/>
      <x:c r="D15" s="11"/>
      <x:c r="E15" s="11"/>
      <x:c r="F15" s="11"/>
      <x:c r="G15" s="17"/>
      <x:c r="H15" s="17"/>
      <x:c r="I15" s="17" t="str">
        <x:f>IF(G15="","",G15*H15)</x:f>
      </x:c>
      <x:c r="J15" s="17"/>
      <x:c r="K15" s="11"/>
      <x:c r="L15" s="11"/>
      <x:c r="M15" s="11"/>
      <x:c r="N15" s="11"/>
    </x:row>
    <x:row r="16">
      <x:c r="A16" s="15"/>
      <x:c r="B16" s="11" t="str">
        <x:f>IF(A16="","",TEXT(A16,"yyyy-mm"))</x:f>
      </x:c>
      <x:c r="C16" s="11"/>
      <x:c r="D16" s="11"/>
      <x:c r="E16" s="11"/>
      <x:c r="F16" s="11"/>
      <x:c r="G16" s="17"/>
      <x:c r="H16" s="17"/>
      <x:c r="I16" s="17" t="str">
        <x:f>IF(G16="","",G16*H16)</x:f>
      </x:c>
      <x:c r="J16" s="17"/>
      <x:c r="K16" s="11"/>
      <x:c r="L16" s="11"/>
      <x:c r="M16" s="11"/>
      <x:c r="N16" s="11"/>
    </x:row>
    <x:row r="17">
      <x:c r="A17" s="15"/>
      <x:c r="B17" s="11" t="str">
        <x:f>IF(A17="","",TEXT(A17,"yyyy-mm"))</x:f>
      </x:c>
      <x:c r="C17" s="11"/>
      <x:c r="D17" s="11"/>
      <x:c r="E17" s="11"/>
      <x:c r="F17" s="11"/>
      <x:c r="G17" s="17"/>
      <x:c r="H17" s="17"/>
      <x:c r="I17" s="17" t="str">
        <x:f>IF(G17="","",G17*H17)</x:f>
      </x:c>
      <x:c r="J17" s="17"/>
      <x:c r="K17" s="11"/>
      <x:c r="L17" s="11"/>
      <x:c r="M17" s="11"/>
      <x:c r="N17" s="11"/>
    </x:row>
    <x:row r="18">
      <x:c r="A18" s="15"/>
      <x:c r="B18" s="11" t="str">
        <x:f>IF(A18="","",TEXT(A18,"yyyy-mm"))</x:f>
      </x:c>
      <x:c r="C18" s="11"/>
      <x:c r="D18" s="11"/>
      <x:c r="E18" s="11"/>
      <x:c r="F18" s="11"/>
      <x:c r="G18" s="17"/>
      <x:c r="H18" s="17"/>
      <x:c r="I18" s="17" t="str">
        <x:f>IF(G18="","",G18*H18)</x:f>
      </x:c>
      <x:c r="J18" s="17"/>
      <x:c r="K18" s="11"/>
      <x:c r="L18" s="11"/>
      <x:c r="M18" s="11"/>
      <x:c r="N18" s="11"/>
    </x:row>
    <x:row r="19">
      <x:c r="A19" s="15"/>
      <x:c r="B19" s="11" t="str">
        <x:f>IF(A19="","",TEXT(A19,"yyyy-mm"))</x:f>
      </x:c>
      <x:c r="C19" s="11"/>
      <x:c r="D19" s="11"/>
      <x:c r="E19" s="11"/>
      <x:c r="F19" s="11"/>
      <x:c r="G19" s="17"/>
      <x:c r="H19" s="17"/>
      <x:c r="I19" s="17" t="str">
        <x:f>IF(G19="","",G19*H19)</x:f>
      </x:c>
      <x:c r="J19" s="17"/>
      <x:c r="K19" s="11"/>
      <x:c r="L19" s="11"/>
      <x:c r="M19" s="11"/>
      <x:c r="N19" s="11"/>
    </x:row>
    <x:row r="20">
      <x:c r="A20" s="15"/>
      <x:c r="B20" s="11" t="str">
        <x:f>IF(A20="","",TEXT(A20,"yyyy-mm"))</x:f>
      </x:c>
      <x:c r="C20" s="11"/>
      <x:c r="D20" s="11"/>
      <x:c r="E20" s="11"/>
      <x:c r="F20" s="11"/>
      <x:c r="G20" s="17"/>
      <x:c r="H20" s="17"/>
      <x:c r="I20" s="17" t="str">
        <x:f>IF(G20="","",G20*H20)</x:f>
      </x:c>
      <x:c r="J20" s="17"/>
      <x:c r="K20" s="11"/>
      <x:c r="L20" s="11"/>
      <x:c r="M20" s="11"/>
      <x:c r="N20" s="11"/>
    </x:row>
    <x:row r="21">
      <x:c r="A21" s="15"/>
      <x:c r="B21" s="11" t="str">
        <x:f>IF(A21="","",TEXT(A21,"yyyy-mm"))</x:f>
      </x:c>
      <x:c r="C21" s="11"/>
      <x:c r="D21" s="11"/>
      <x:c r="E21" s="11"/>
      <x:c r="F21" s="11"/>
      <x:c r="G21" s="17"/>
      <x:c r="H21" s="17"/>
      <x:c r="I21" s="17" t="str">
        <x:f>IF(G21="","",G21*H21)</x:f>
      </x:c>
      <x:c r="J21" s="17"/>
      <x:c r="K21" s="11"/>
      <x:c r="L21" s="11"/>
      <x:c r="M21" s="11"/>
      <x:c r="N21" s="11"/>
    </x:row>
    <x:row r="22">
      <x:c r="A22" s="15"/>
      <x:c r="B22" s="11" t="str">
        <x:f>IF(A22="","",TEXT(A22,"yyyy-mm"))</x:f>
      </x:c>
      <x:c r="C22" s="11"/>
      <x:c r="D22" s="11"/>
      <x:c r="E22" s="11"/>
      <x:c r="F22" s="11"/>
      <x:c r="G22" s="17"/>
      <x:c r="H22" s="17"/>
      <x:c r="I22" s="17" t="str">
        <x:f>IF(G22="","",G22*H22)</x:f>
      </x:c>
      <x:c r="J22" s="17"/>
      <x:c r="K22" s="11"/>
      <x:c r="L22" s="11"/>
      <x:c r="M22" s="11"/>
      <x:c r="N22" s="11"/>
    </x:row>
    <x:row r="23">
      <x:c r="A23" s="15"/>
      <x:c r="B23" s="11" t="str">
        <x:f>IF(A23="","",TEXT(A23,"yyyy-mm"))</x:f>
      </x:c>
      <x:c r="C23" s="11"/>
      <x:c r="D23" s="11"/>
      <x:c r="E23" s="11"/>
      <x:c r="F23" s="11"/>
      <x:c r="G23" s="17"/>
      <x:c r="H23" s="17"/>
      <x:c r="I23" s="17" t="str">
        <x:f>IF(G23="","",G23*H23)</x:f>
      </x:c>
      <x:c r="J23" s="17"/>
      <x:c r="K23" s="11"/>
      <x:c r="L23" s="11"/>
      <x:c r="M23" s="11"/>
      <x:c r="N23" s="11"/>
    </x:row>
    <x:row r="24">
      <x:c r="A24" s="15"/>
      <x:c r="B24" s="11" t="str">
        <x:f>IF(A24="","",TEXT(A24,"yyyy-mm"))</x:f>
      </x:c>
      <x:c r="C24" s="11"/>
      <x:c r="D24" s="11"/>
      <x:c r="E24" s="11"/>
      <x:c r="F24" s="11"/>
      <x:c r="G24" s="17"/>
      <x:c r="H24" s="17"/>
      <x:c r="I24" s="17" t="str">
        <x:f>IF(G24="","",G24*H24)</x:f>
      </x:c>
      <x:c r="J24" s="17"/>
      <x:c r="K24" s="11"/>
      <x:c r="L24" s="11"/>
      <x:c r="M24" s="11"/>
      <x:c r="N24" s="11"/>
    </x:row>
    <x:row r="25">
      <x:c r="A25" s="15"/>
      <x:c r="B25" s="11" t="str">
        <x:f>IF(A25="","",TEXT(A25,"yyyy-mm"))</x:f>
      </x:c>
      <x:c r="C25" s="11"/>
      <x:c r="D25" s="11"/>
      <x:c r="E25" s="11"/>
      <x:c r="F25" s="11"/>
      <x:c r="G25" s="17"/>
      <x:c r="H25" s="17"/>
      <x:c r="I25" s="17" t="str">
        <x:f>IF(G25="","",G25*H25)</x:f>
      </x:c>
      <x:c r="J25" s="17"/>
      <x:c r="K25" s="11"/>
      <x:c r="L25" s="11"/>
      <x:c r="M25" s="11"/>
      <x:c r="N25" s="11"/>
    </x:row>
    <x:row r="26">
      <x:c r="A26" s="15"/>
      <x:c r="B26" s="11" t="str">
        <x:f>IF(A26="","",TEXT(A26,"yyyy-mm"))</x:f>
      </x:c>
      <x:c r="C26" s="11"/>
      <x:c r="D26" s="11"/>
      <x:c r="E26" s="11"/>
      <x:c r="F26" s="11"/>
      <x:c r="G26" s="17"/>
      <x:c r="H26" s="17"/>
      <x:c r="I26" s="17" t="str">
        <x:f>IF(G26="","",G26*H26)</x:f>
      </x:c>
      <x:c r="J26" s="17"/>
      <x:c r="K26" s="11"/>
      <x:c r="L26" s="11"/>
      <x:c r="M26" s="11"/>
      <x:c r="N26" s="11"/>
    </x:row>
    <x:row r="27">
      <x:c r="A27" s="15"/>
      <x:c r="B27" s="11" t="str">
        <x:f>IF(A27="","",TEXT(A27,"yyyy-mm"))</x:f>
      </x:c>
      <x:c r="C27" s="11"/>
      <x:c r="D27" s="11"/>
      <x:c r="E27" s="11"/>
      <x:c r="F27" s="11"/>
      <x:c r="G27" s="17"/>
      <x:c r="H27" s="17"/>
      <x:c r="I27" s="17" t="str">
        <x:f>IF(G27="","",G27*H27)</x:f>
      </x:c>
      <x:c r="J27" s="17"/>
      <x:c r="K27" s="11"/>
      <x:c r="L27" s="11"/>
      <x:c r="M27" s="11"/>
      <x:c r="N27" s="11"/>
    </x:row>
    <x:row r="28">
      <x:c r="A28" s="15"/>
      <x:c r="B28" s="11" t="str">
        <x:f>IF(A28="","",TEXT(A28,"yyyy-mm"))</x:f>
      </x:c>
      <x:c r="C28" s="11"/>
      <x:c r="D28" s="11"/>
      <x:c r="E28" s="11"/>
      <x:c r="F28" s="11"/>
      <x:c r="G28" s="17"/>
      <x:c r="H28" s="17"/>
      <x:c r="I28" s="17" t="str">
        <x:f>IF(G28="","",G28*H28)</x:f>
      </x:c>
      <x:c r="J28" s="17"/>
      <x:c r="K28" s="11"/>
      <x:c r="L28" s="11"/>
      <x:c r="M28" s="11"/>
      <x:c r="N28" s="11"/>
    </x:row>
    <x:row r="29">
      <x:c r="A29" s="15"/>
      <x:c r="B29" s="11" t="str">
        <x:f>IF(A29="","",TEXT(A29,"yyyy-mm"))</x:f>
      </x:c>
      <x:c r="C29" s="11"/>
      <x:c r="D29" s="11"/>
      <x:c r="E29" s="11"/>
      <x:c r="F29" s="11"/>
      <x:c r="G29" s="17"/>
      <x:c r="H29" s="17"/>
      <x:c r="I29" s="17" t="str">
        <x:f>IF(G29="","",G29*H29)</x:f>
      </x:c>
      <x:c r="J29" s="17"/>
      <x:c r="K29" s="11"/>
      <x:c r="L29" s="11"/>
      <x:c r="M29" s="11"/>
      <x:c r="N29" s="11"/>
    </x:row>
    <x:row r="30">
      <x:c r="A30" s="15"/>
      <x:c r="B30" s="11" t="str">
        <x:f>IF(A30="","",TEXT(A30,"yyyy-mm"))</x:f>
      </x:c>
      <x:c r="C30" s="11"/>
      <x:c r="D30" s="11"/>
      <x:c r="E30" s="11"/>
      <x:c r="F30" s="11"/>
      <x:c r="G30" s="17"/>
      <x:c r="H30" s="17"/>
      <x:c r="I30" s="17" t="str">
        <x:f>IF(G30="","",G30*H30)</x:f>
      </x:c>
      <x:c r="J30" s="17"/>
      <x:c r="K30" s="11"/>
      <x:c r="L30" s="11"/>
      <x:c r="M30" s="11"/>
      <x:c r="N30" s="11"/>
    </x:row>
    <x:row r="31">
      <x:c r="A31" s="15"/>
      <x:c r="B31" s="11" t="str">
        <x:f>IF(A31="","",TEXT(A31,"yyyy-mm"))</x:f>
      </x:c>
      <x:c r="C31" s="11"/>
      <x:c r="D31" s="11"/>
      <x:c r="E31" s="11"/>
      <x:c r="F31" s="11"/>
      <x:c r="G31" s="17"/>
      <x:c r="H31" s="17"/>
      <x:c r="I31" s="17" t="str">
        <x:f>IF(G31="","",G31*H31)</x:f>
      </x:c>
      <x:c r="J31" s="17"/>
      <x:c r="K31" s="11"/>
      <x:c r="L31" s="11"/>
      <x:c r="M31" s="11"/>
      <x:c r="N31" s="11"/>
    </x:row>
    <x:row r="32">
      <x:c r="A32" s="15"/>
      <x:c r="B32" s="11" t="str">
        <x:f>IF(A32="","",TEXT(A32,"yyyy-mm"))</x:f>
      </x:c>
      <x:c r="C32" s="11"/>
      <x:c r="D32" s="11"/>
      <x:c r="E32" s="11"/>
      <x:c r="F32" s="11"/>
      <x:c r="G32" s="17"/>
      <x:c r="H32" s="17"/>
      <x:c r="I32" s="17" t="str">
        <x:f>IF(G32="","",G32*H32)</x:f>
      </x:c>
      <x:c r="J32" s="17"/>
      <x:c r="K32" s="11"/>
      <x:c r="L32" s="11"/>
      <x:c r="M32" s="11"/>
      <x:c r="N32" s="11"/>
    </x:row>
    <x:row r="33">
      <x:c r="A33" s="15"/>
      <x:c r="B33" s="11" t="str">
        <x:f>IF(A33="","",TEXT(A33,"yyyy-mm"))</x:f>
      </x:c>
      <x:c r="C33" s="11"/>
      <x:c r="D33" s="11"/>
      <x:c r="E33" s="11"/>
      <x:c r="F33" s="11"/>
      <x:c r="G33" s="17"/>
      <x:c r="H33" s="17"/>
      <x:c r="I33" s="17" t="str">
        <x:f>IF(G33="","",G33*H33)</x:f>
      </x:c>
      <x:c r="J33" s="17"/>
      <x:c r="K33" s="11"/>
      <x:c r="L33" s="11"/>
      <x:c r="M33" s="11"/>
      <x:c r="N33" s="11"/>
    </x:row>
    <x:row r="34">
      <x:c r="A34" s="15"/>
      <x:c r="B34" s="11" t="str">
        <x:f>IF(A34="","",TEXT(A34,"yyyy-mm"))</x:f>
      </x:c>
      <x:c r="C34" s="11"/>
      <x:c r="D34" s="11"/>
      <x:c r="E34" s="11"/>
      <x:c r="F34" s="11"/>
      <x:c r="G34" s="17"/>
      <x:c r="H34" s="17"/>
      <x:c r="I34" s="17" t="str">
        <x:f>IF(G34="","",G34*H34)</x:f>
      </x:c>
      <x:c r="J34" s="17"/>
      <x:c r="K34" s="11"/>
      <x:c r="L34" s="11"/>
      <x:c r="M34" s="11"/>
      <x:c r="N34" s="11"/>
    </x:row>
    <x:row r="35">
      <x:c r="A35" s="15"/>
      <x:c r="B35" s="11" t="str">
        <x:f>IF(A35="","",TEXT(A35,"yyyy-mm"))</x:f>
      </x:c>
      <x:c r="C35" s="11"/>
      <x:c r="D35" s="11"/>
      <x:c r="E35" s="11"/>
      <x:c r="F35" s="11"/>
      <x:c r="G35" s="17"/>
      <x:c r="H35" s="17"/>
      <x:c r="I35" s="17" t="str">
        <x:f>IF(G35="","",G35*H35)</x:f>
      </x:c>
      <x:c r="J35" s="17"/>
      <x:c r="K35" s="11"/>
      <x:c r="L35" s="11"/>
      <x:c r="M35" s="11"/>
      <x:c r="N35" s="11"/>
    </x:row>
    <x:row r="36">
      <x:c r="A36" s="15"/>
      <x:c r="B36" s="11" t="str">
        <x:f>IF(A36="","",TEXT(A36,"yyyy-mm"))</x:f>
      </x:c>
      <x:c r="C36" s="11"/>
      <x:c r="D36" s="11"/>
      <x:c r="E36" s="11"/>
      <x:c r="F36" s="11"/>
      <x:c r="G36" s="17"/>
      <x:c r="H36" s="17"/>
      <x:c r="I36" s="17" t="str">
        <x:f>IF(G36="","",G36*H36)</x:f>
      </x:c>
      <x:c r="J36" s="17"/>
      <x:c r="K36" s="11"/>
      <x:c r="L36" s="11"/>
      <x:c r="M36" s="11"/>
      <x:c r="N36" s="11"/>
    </x:row>
    <x:row r="37">
      <x:c r="A37" s="15"/>
      <x:c r="B37" s="11" t="str">
        <x:f>IF(A37="","",TEXT(A37,"yyyy-mm"))</x:f>
      </x:c>
      <x:c r="C37" s="11"/>
      <x:c r="D37" s="11"/>
      <x:c r="E37" s="11"/>
      <x:c r="F37" s="11"/>
      <x:c r="G37" s="17"/>
      <x:c r="H37" s="17"/>
      <x:c r="I37" s="17" t="str">
        <x:f>IF(G37="","",G37*H37)</x:f>
      </x:c>
      <x:c r="J37" s="17"/>
      <x:c r="K37" s="11"/>
      <x:c r="L37" s="11"/>
      <x:c r="M37" s="11"/>
      <x:c r="N37" s="11"/>
    </x:row>
    <x:row r="38">
      <x:c r="A38" s="15"/>
      <x:c r="B38" s="11" t="str">
        <x:f>IF(A38="","",TEXT(A38,"yyyy-mm"))</x:f>
      </x:c>
      <x:c r="C38" s="11"/>
      <x:c r="D38" s="11"/>
      <x:c r="E38" s="11"/>
      <x:c r="F38" s="11"/>
      <x:c r="G38" s="17"/>
      <x:c r="H38" s="17"/>
      <x:c r="I38" s="17" t="str">
        <x:f>IF(G38="","",G38*H38)</x:f>
      </x:c>
      <x:c r="J38" s="17"/>
      <x:c r="K38" s="11"/>
      <x:c r="L38" s="11"/>
      <x:c r="M38" s="11"/>
      <x:c r="N38" s="11"/>
    </x:row>
    <x:row r="39">
      <x:c r="A39" s="15"/>
      <x:c r="B39" s="11" t="str">
        <x:f>IF(A39="","",TEXT(A39,"yyyy-mm"))</x:f>
      </x:c>
      <x:c r="C39" s="11"/>
      <x:c r="D39" s="11"/>
      <x:c r="E39" s="11"/>
      <x:c r="F39" s="11"/>
      <x:c r="G39" s="17"/>
      <x:c r="H39" s="17"/>
      <x:c r="I39" s="17" t="str">
        <x:f>IF(G39="","",G39*H39)</x:f>
      </x:c>
      <x:c r="J39" s="17"/>
      <x:c r="K39" s="11"/>
      <x:c r="L39" s="11"/>
      <x:c r="M39" s="11"/>
      <x:c r="N39" s="11"/>
    </x:row>
    <x:row r="40">
      <x:c r="A40" s="15"/>
      <x:c r="B40" s="11" t="str">
        <x:f>IF(A40="","",TEXT(A40,"yyyy-mm"))</x:f>
      </x:c>
      <x:c r="C40" s="11"/>
      <x:c r="D40" s="11"/>
      <x:c r="E40" s="11"/>
      <x:c r="F40" s="11"/>
      <x:c r="G40" s="17"/>
      <x:c r="H40" s="17"/>
      <x:c r="I40" s="17" t="str">
        <x:f>IF(G40="","",G40*H40)</x:f>
      </x:c>
      <x:c r="J40" s="17"/>
      <x:c r="K40" s="11"/>
      <x:c r="L40" s="11"/>
      <x:c r="M40" s="11"/>
      <x:c r="N40" s="11"/>
    </x:row>
    <x:row r="41">
      <x:c r="A41" s="15"/>
      <x:c r="B41" s="11" t="str">
        <x:f>IF(A41="","",TEXT(A41,"yyyy-mm"))</x:f>
      </x:c>
      <x:c r="C41" s="11"/>
      <x:c r="D41" s="11"/>
      <x:c r="E41" s="11"/>
      <x:c r="F41" s="11"/>
      <x:c r="G41" s="17"/>
      <x:c r="H41" s="17"/>
      <x:c r="I41" s="17" t="str">
        <x:f>IF(G41="","",G41*H41)</x:f>
      </x:c>
      <x:c r="J41" s="17"/>
      <x:c r="K41" s="11"/>
      <x:c r="L41" s="11"/>
      <x:c r="M41" s="11"/>
      <x:c r="N41" s="11"/>
    </x:row>
    <x:row r="42">
      <x:c r="A42" s="15"/>
      <x:c r="B42" s="11" t="str">
        <x:f>IF(A42="","",TEXT(A42,"yyyy-mm"))</x:f>
      </x:c>
      <x:c r="C42" s="11"/>
      <x:c r="D42" s="11"/>
      <x:c r="E42" s="11"/>
      <x:c r="F42" s="11"/>
      <x:c r="G42" s="17"/>
      <x:c r="H42" s="17"/>
      <x:c r="I42" s="17" t="str">
        <x:f>IF(G42="","",G42*H42)</x:f>
      </x:c>
      <x:c r="J42" s="17"/>
      <x:c r="K42" s="11"/>
      <x:c r="L42" s="11"/>
      <x:c r="M42" s="11"/>
      <x:c r="N42" s="11"/>
    </x:row>
    <x:row r="43">
      <x:c r="A43" s="15"/>
      <x:c r="B43" s="11" t="str">
        <x:f>IF(A43="","",TEXT(A43,"yyyy-mm"))</x:f>
      </x:c>
      <x:c r="C43" s="11"/>
      <x:c r="D43" s="11"/>
      <x:c r="E43" s="11"/>
      <x:c r="F43" s="11"/>
      <x:c r="G43" s="17"/>
      <x:c r="H43" s="17"/>
      <x:c r="I43" s="17" t="str">
        <x:f>IF(G43="","",G43*H43)</x:f>
      </x:c>
      <x:c r="J43" s="17"/>
      <x:c r="K43" s="11"/>
      <x:c r="L43" s="11"/>
      <x:c r="M43" s="11"/>
      <x:c r="N43" s="11"/>
    </x:row>
    <x:row r="44">
      <x:c r="A44" s="15"/>
      <x:c r="B44" s="11" t="str">
        <x:f>IF(A44="","",TEXT(A44,"yyyy-mm"))</x:f>
      </x:c>
      <x:c r="C44" s="11"/>
      <x:c r="D44" s="11"/>
      <x:c r="E44" s="11"/>
      <x:c r="F44" s="11"/>
      <x:c r="G44" s="17"/>
      <x:c r="H44" s="17"/>
      <x:c r="I44" s="17" t="str">
        <x:f>IF(G44="","",G44*H44)</x:f>
      </x:c>
      <x:c r="J44" s="17"/>
      <x:c r="K44" s="11"/>
      <x:c r="L44" s="11"/>
      <x:c r="M44" s="11"/>
      <x:c r="N44" s="11"/>
    </x:row>
    <x:row r="45">
      <x:c r="A45" s="15"/>
      <x:c r="B45" s="11" t="str">
        <x:f>IF(A45="","",TEXT(A45,"yyyy-mm"))</x:f>
      </x:c>
      <x:c r="C45" s="11"/>
      <x:c r="D45" s="11"/>
      <x:c r="E45" s="11"/>
      <x:c r="F45" s="11"/>
      <x:c r="G45" s="17"/>
      <x:c r="H45" s="17"/>
      <x:c r="I45" s="17" t="str">
        <x:f>IF(G45="","",G45*H45)</x:f>
      </x:c>
      <x:c r="J45" s="17"/>
      <x:c r="K45" s="11"/>
      <x:c r="L45" s="11"/>
      <x:c r="M45" s="11"/>
      <x:c r="N45" s="11"/>
    </x:row>
    <x:row r="46">
      <x:c r="A46" s="15"/>
      <x:c r="B46" s="11" t="str">
        <x:f>IF(A46="","",TEXT(A46,"yyyy-mm"))</x:f>
      </x:c>
      <x:c r="C46" s="11"/>
      <x:c r="D46" s="11"/>
      <x:c r="E46" s="11"/>
      <x:c r="F46" s="11"/>
      <x:c r="G46" s="17"/>
      <x:c r="H46" s="17"/>
      <x:c r="I46" s="17" t="str">
        <x:f>IF(G46="","",G46*H46)</x:f>
      </x:c>
      <x:c r="J46" s="17"/>
      <x:c r="K46" s="11"/>
      <x:c r="L46" s="11"/>
      <x:c r="M46" s="11"/>
      <x:c r="N46" s="11"/>
    </x:row>
    <x:row r="47">
      <x:c r="A47" s="15"/>
      <x:c r="B47" s="11" t="str">
        <x:f>IF(A47="","",TEXT(A47,"yyyy-mm"))</x:f>
      </x:c>
      <x:c r="C47" s="11"/>
      <x:c r="D47" s="11"/>
      <x:c r="E47" s="11"/>
      <x:c r="F47" s="11"/>
      <x:c r="G47" s="17"/>
      <x:c r="H47" s="17"/>
      <x:c r="I47" s="17" t="str">
        <x:f>IF(G47="","",G47*H47)</x:f>
      </x:c>
      <x:c r="J47" s="17"/>
      <x:c r="K47" s="11"/>
      <x:c r="L47" s="11"/>
      <x:c r="M47" s="11"/>
      <x:c r="N47" s="11"/>
    </x:row>
    <x:row r="48">
      <x:c r="A48" s="15"/>
      <x:c r="B48" s="11" t="str">
        <x:f>IF(A48="","",TEXT(A48,"yyyy-mm"))</x:f>
      </x:c>
      <x:c r="C48" s="11"/>
      <x:c r="D48" s="11"/>
      <x:c r="E48" s="11"/>
      <x:c r="F48" s="11"/>
      <x:c r="G48" s="17"/>
      <x:c r="H48" s="17"/>
      <x:c r="I48" s="17" t="str">
        <x:f>IF(G48="","",G48*H48)</x:f>
      </x:c>
      <x:c r="J48" s="17"/>
      <x:c r="K48" s="11"/>
      <x:c r="L48" s="11"/>
      <x:c r="M48" s="11"/>
      <x:c r="N48" s="11"/>
    </x:row>
    <x:row r="49">
      <x:c r="A49" s="15"/>
      <x:c r="B49" s="11" t="str">
        <x:f>IF(A49="","",TEXT(A49,"yyyy-mm"))</x:f>
      </x:c>
      <x:c r="C49" s="11"/>
      <x:c r="D49" s="11"/>
      <x:c r="E49" s="11"/>
      <x:c r="F49" s="11"/>
      <x:c r="G49" s="17"/>
      <x:c r="H49" s="17"/>
      <x:c r="I49" s="17" t="str">
        <x:f>IF(G49="","",G49*H49)</x:f>
      </x:c>
      <x:c r="J49" s="17"/>
      <x:c r="K49" s="11"/>
      <x:c r="L49" s="11"/>
      <x:c r="M49" s="11"/>
      <x:c r="N49" s="11"/>
    </x:row>
    <x:row r="50">
      <x:c r="A50" s="15"/>
      <x:c r="B50" s="11" t="str">
        <x:f>IF(A50="","",TEXT(A50,"yyyy-mm"))</x:f>
      </x:c>
      <x:c r="C50" s="11"/>
      <x:c r="D50" s="11"/>
      <x:c r="E50" s="11"/>
      <x:c r="F50" s="11"/>
      <x:c r="G50" s="17"/>
      <x:c r="H50" s="17"/>
      <x:c r="I50" s="17" t="str">
        <x:f>IF(G50="","",G50*H50)</x:f>
      </x:c>
      <x:c r="J50" s="17"/>
      <x:c r="K50" s="11"/>
      <x:c r="L50" s="11"/>
      <x:c r="M50" s="11"/>
      <x:c r="N50" s="11"/>
    </x:row>
    <x:row r="51">
      <x:c r="A51" s="15"/>
      <x:c r="B51" s="11" t="str">
        <x:f>IF(A51="","",TEXT(A51,"yyyy-mm"))</x:f>
      </x:c>
      <x:c r="C51" s="11"/>
      <x:c r="D51" s="11"/>
      <x:c r="E51" s="11"/>
      <x:c r="F51" s="11"/>
      <x:c r="G51" s="17"/>
      <x:c r="H51" s="17"/>
      <x:c r="I51" s="17" t="str">
        <x:f>IF(G51="","",G51*H51)</x:f>
      </x:c>
      <x:c r="J51" s="17"/>
      <x:c r="K51" s="11"/>
      <x:c r="L51" s="11"/>
      <x:c r="M51" s="11"/>
      <x:c r="N51" s="11"/>
    </x:row>
    <x:row r="52">
      <x:c r="A52" s="15"/>
      <x:c r="B52" s="11" t="str">
        <x:f>IF(A52="","",TEXT(A52,"yyyy-mm"))</x:f>
      </x:c>
      <x:c r="C52" s="11"/>
      <x:c r="D52" s="11"/>
      <x:c r="E52" s="11"/>
      <x:c r="F52" s="11"/>
      <x:c r="G52" s="17"/>
      <x:c r="H52" s="17"/>
      <x:c r="I52" s="17" t="str">
        <x:f>IF(G52="","",G52*H52)</x:f>
      </x:c>
      <x:c r="J52" s="17"/>
      <x:c r="K52" s="11"/>
      <x:c r="L52" s="11"/>
      <x:c r="M52" s="11"/>
      <x:c r="N52" s="11"/>
    </x:row>
    <x:row r="53">
      <x:c r="A53" s="15"/>
      <x:c r="B53" s="11" t="str">
        <x:f>IF(A53="","",TEXT(A53,"yyyy-mm"))</x:f>
      </x:c>
      <x:c r="C53" s="11"/>
      <x:c r="D53" s="11"/>
      <x:c r="E53" s="11"/>
      <x:c r="F53" s="11"/>
      <x:c r="G53" s="17"/>
      <x:c r="H53" s="17"/>
      <x:c r="I53" s="17" t="str">
        <x:f>IF(G53="","",G53*H53)</x:f>
      </x:c>
      <x:c r="J53" s="17"/>
      <x:c r="K53" s="11"/>
      <x:c r="L53" s="11"/>
      <x:c r="M53" s="11"/>
      <x:c r="N53" s="11"/>
    </x:row>
    <x:row r="54">
      <x:c r="A54" s="15"/>
      <x:c r="B54" s="11" t="str">
        <x:f>IF(A54="","",TEXT(A54,"yyyy-mm"))</x:f>
      </x:c>
      <x:c r="C54" s="11"/>
      <x:c r="D54" s="11"/>
      <x:c r="E54" s="11"/>
      <x:c r="F54" s="11"/>
      <x:c r="G54" s="17"/>
      <x:c r="H54" s="17"/>
      <x:c r="I54" s="17" t="str">
        <x:f>IF(G54="","",G54*H54)</x:f>
      </x:c>
      <x:c r="J54" s="17"/>
      <x:c r="K54" s="11"/>
      <x:c r="L54" s="11"/>
      <x:c r="M54" s="11"/>
      <x:c r="N54" s="11"/>
    </x:row>
    <x:row r="55">
      <x:c r="A55" s="15"/>
      <x:c r="B55" s="11" t="str">
        <x:f>IF(A55="","",TEXT(A55,"yyyy-mm"))</x:f>
      </x:c>
      <x:c r="C55" s="11"/>
      <x:c r="D55" s="11"/>
      <x:c r="E55" s="11"/>
      <x:c r="F55" s="11"/>
      <x:c r="G55" s="17"/>
      <x:c r="H55" s="17"/>
      <x:c r="I55" s="17" t="str">
        <x:f>IF(G55="","",G55*H55)</x:f>
      </x:c>
      <x:c r="J55" s="17"/>
      <x:c r="K55" s="11"/>
      <x:c r="L55" s="11"/>
      <x:c r="M55" s="11"/>
      <x:c r="N55" s="11"/>
    </x:row>
    <x:row r="56">
      <x:c r="A56" s="15"/>
      <x:c r="B56" s="11" t="str">
        <x:f>IF(A56="","",TEXT(A56,"yyyy-mm"))</x:f>
      </x:c>
      <x:c r="C56" s="11"/>
      <x:c r="D56" s="11"/>
      <x:c r="E56" s="11"/>
      <x:c r="F56" s="11"/>
      <x:c r="G56" s="17"/>
      <x:c r="H56" s="17"/>
      <x:c r="I56" s="17" t="str">
        <x:f>IF(G56="","",G56*H56)</x:f>
      </x:c>
      <x:c r="J56" s="17"/>
      <x:c r="K56" s="11"/>
      <x:c r="L56" s="11"/>
      <x:c r="M56" s="11"/>
      <x:c r="N56" s="11"/>
    </x:row>
    <x:row r="57">
      <x:c r="A57" s="15"/>
      <x:c r="B57" s="11" t="str">
        <x:f>IF(A57="","",TEXT(A57,"yyyy-mm"))</x:f>
      </x:c>
      <x:c r="C57" s="11"/>
      <x:c r="D57" s="11"/>
      <x:c r="E57" s="11"/>
      <x:c r="F57" s="11"/>
      <x:c r="G57" s="17"/>
      <x:c r="H57" s="17"/>
      <x:c r="I57" s="17" t="str">
        <x:f>IF(G57="","",G57*H57)</x:f>
      </x:c>
      <x:c r="J57" s="17"/>
      <x:c r="K57" s="11"/>
      <x:c r="L57" s="11"/>
      <x:c r="M57" s="11"/>
      <x:c r="N57" s="11"/>
    </x:row>
    <x:row r="58">
      <x:c r="A58" s="15"/>
      <x:c r="B58" s="11" t="str">
        <x:f>IF(A58="","",TEXT(A58,"yyyy-mm"))</x:f>
      </x:c>
      <x:c r="C58" s="11"/>
      <x:c r="D58" s="11"/>
      <x:c r="E58" s="11"/>
      <x:c r="F58" s="11"/>
      <x:c r="G58" s="17"/>
      <x:c r="H58" s="17"/>
      <x:c r="I58" s="17" t="str">
        <x:f>IF(G58="","",G58*H58)</x:f>
      </x:c>
      <x:c r="J58" s="17"/>
      <x:c r="K58" s="11"/>
      <x:c r="L58" s="11"/>
      <x:c r="M58" s="11"/>
      <x:c r="N58" s="11"/>
    </x:row>
    <x:row r="59">
      <x:c r="A59" s="15"/>
      <x:c r="B59" s="11" t="str">
        <x:f>IF(A59="","",TEXT(A59,"yyyy-mm"))</x:f>
      </x:c>
      <x:c r="C59" s="11"/>
      <x:c r="D59" s="11"/>
      <x:c r="E59" s="11"/>
      <x:c r="F59" s="11"/>
      <x:c r="G59" s="17"/>
      <x:c r="H59" s="17"/>
      <x:c r="I59" s="17" t="str">
        <x:f>IF(G59="","",G59*H59)</x:f>
      </x:c>
      <x:c r="J59" s="17"/>
      <x:c r="K59" s="11"/>
      <x:c r="L59" s="11"/>
      <x:c r="M59" s="11"/>
      <x:c r="N59" s="11"/>
    </x:row>
    <x:row r="60">
      <x:c r="A60" s="15"/>
      <x:c r="B60" s="11" t="str">
        <x:f>IF(A60="","",TEXT(A60,"yyyy-mm"))</x:f>
      </x:c>
      <x:c r="C60" s="11"/>
      <x:c r="D60" s="11"/>
      <x:c r="E60" s="11"/>
      <x:c r="F60" s="11"/>
      <x:c r="G60" s="17"/>
      <x:c r="H60" s="17"/>
      <x:c r="I60" s="17" t="str">
        <x:f>IF(G60="","",G60*H60)</x:f>
      </x:c>
      <x:c r="J60" s="17"/>
      <x:c r="K60" s="11"/>
      <x:c r="L60" s="11"/>
      <x:c r="M60" s="11"/>
      <x:c r="N60" s="11"/>
    </x:row>
    <x:row r="61">
      <x:c r="A61" s="15"/>
      <x:c r="B61" s="11" t="str">
        <x:f>IF(A61="","",TEXT(A61,"yyyy-mm"))</x:f>
      </x:c>
      <x:c r="C61" s="11"/>
      <x:c r="D61" s="11"/>
      <x:c r="E61" s="11"/>
      <x:c r="F61" s="11"/>
      <x:c r="G61" s="17"/>
      <x:c r="H61" s="17"/>
      <x:c r="I61" s="17" t="str">
        <x:f>IF(G61="","",G61*H61)</x:f>
      </x:c>
      <x:c r="J61" s="17"/>
      <x:c r="K61" s="11"/>
      <x:c r="L61" s="11"/>
      <x:c r="M61" s="11"/>
      <x:c r="N61" s="11"/>
    </x:row>
    <x:row r="62">
      <x:c r="A62" s="15"/>
      <x:c r="B62" s="11" t="str">
        <x:f>IF(A62="","",TEXT(A62,"yyyy-mm"))</x:f>
      </x:c>
      <x:c r="C62" s="11"/>
      <x:c r="D62" s="11"/>
      <x:c r="E62" s="11"/>
      <x:c r="F62" s="11"/>
      <x:c r="G62" s="17"/>
      <x:c r="H62" s="17"/>
      <x:c r="I62" s="17" t="str">
        <x:f>IF(G62="","",G62*H62)</x:f>
      </x:c>
      <x:c r="J62" s="17"/>
      <x:c r="K62" s="11"/>
      <x:c r="L62" s="11"/>
      <x:c r="M62" s="11"/>
      <x:c r="N62" s="11"/>
    </x:row>
    <x:row r="63">
      <x:c r="A63" s="15"/>
      <x:c r="B63" s="11" t="str">
        <x:f>IF(A63="","",TEXT(A63,"yyyy-mm"))</x:f>
      </x:c>
      <x:c r="C63" s="11"/>
      <x:c r="D63" s="11"/>
      <x:c r="E63" s="11"/>
      <x:c r="F63" s="11"/>
      <x:c r="G63" s="17"/>
      <x:c r="H63" s="17"/>
      <x:c r="I63" s="17" t="str">
        <x:f>IF(G63="","",G63*H63)</x:f>
      </x:c>
      <x:c r="J63" s="17"/>
      <x:c r="K63" s="11"/>
      <x:c r="L63" s="11"/>
      <x:c r="M63" s="11"/>
      <x:c r="N63" s="11"/>
    </x:row>
    <x:row r="64">
      <x:c r="A64" s="15"/>
      <x:c r="B64" s="11" t="str">
        <x:f>IF(A64="","",TEXT(A64,"yyyy-mm"))</x:f>
      </x:c>
      <x:c r="C64" s="11"/>
      <x:c r="D64" s="11"/>
      <x:c r="E64" s="11"/>
      <x:c r="F64" s="11"/>
      <x:c r="G64" s="17"/>
      <x:c r="H64" s="17"/>
      <x:c r="I64" s="17" t="str">
        <x:f>IF(G64="","",G64*H64)</x:f>
      </x:c>
      <x:c r="J64" s="17"/>
      <x:c r="K64" s="11"/>
      <x:c r="L64" s="11"/>
      <x:c r="M64" s="11"/>
      <x:c r="N64" s="11"/>
    </x:row>
    <x:row r="65">
      <x:c r="A65" s="15"/>
      <x:c r="B65" s="11" t="str">
        <x:f>IF(A65="","",TEXT(A65,"yyyy-mm"))</x:f>
      </x:c>
      <x:c r="C65" s="11"/>
      <x:c r="D65" s="11"/>
      <x:c r="E65" s="11"/>
      <x:c r="F65" s="11"/>
      <x:c r="G65" s="17"/>
      <x:c r="H65" s="17"/>
      <x:c r="I65" s="17" t="str">
        <x:f>IF(G65="","",G65*H65)</x:f>
      </x:c>
      <x:c r="J65" s="17"/>
      <x:c r="K65" s="11"/>
      <x:c r="L65" s="11"/>
      <x:c r="M65" s="11"/>
      <x:c r="N65" s="11"/>
    </x:row>
    <x:row r="66">
      <x:c r="A66" s="15"/>
      <x:c r="B66" s="11" t="str">
        <x:f>IF(A66="","",TEXT(A66,"yyyy-mm"))</x:f>
      </x:c>
      <x:c r="C66" s="11"/>
      <x:c r="D66" s="11"/>
      <x:c r="E66" s="11"/>
      <x:c r="F66" s="11"/>
      <x:c r="G66" s="17"/>
      <x:c r="H66" s="17"/>
      <x:c r="I66" s="17" t="str">
        <x:f>IF(G66="","",G66*H66)</x:f>
      </x:c>
      <x:c r="J66" s="17"/>
      <x:c r="K66" s="11"/>
      <x:c r="L66" s="11"/>
      <x:c r="M66" s="11"/>
      <x:c r="N66" s="11"/>
    </x:row>
    <x:row r="67">
      <x:c r="A67" s="15"/>
      <x:c r="B67" s="11" t="str">
        <x:f>IF(A67="","",TEXT(A67,"yyyy-mm"))</x:f>
      </x:c>
      <x:c r="C67" s="11"/>
      <x:c r="D67" s="11"/>
      <x:c r="E67" s="11"/>
      <x:c r="F67" s="11"/>
      <x:c r="G67" s="17"/>
      <x:c r="H67" s="17"/>
      <x:c r="I67" s="17" t="str">
        <x:f>IF(G67="","",G67*H67)</x:f>
      </x:c>
      <x:c r="J67" s="17"/>
      <x:c r="K67" s="11"/>
      <x:c r="L67" s="11"/>
      <x:c r="M67" s="11"/>
      <x:c r="N67" s="11"/>
    </x:row>
    <x:row r="68">
      <x:c r="A68" s="15"/>
      <x:c r="B68" s="11" t="str">
        <x:f>IF(A68="","",TEXT(A68,"yyyy-mm"))</x:f>
      </x:c>
      <x:c r="C68" s="11"/>
      <x:c r="D68" s="11"/>
      <x:c r="E68" s="11"/>
      <x:c r="F68" s="11"/>
      <x:c r="G68" s="17"/>
      <x:c r="H68" s="17"/>
      <x:c r="I68" s="17" t="str">
        <x:f>IF(G68="","",G68*H68)</x:f>
      </x:c>
      <x:c r="J68" s="17"/>
      <x:c r="K68" s="11"/>
      <x:c r="L68" s="11"/>
      <x:c r="M68" s="11"/>
      <x:c r="N68" s="11"/>
    </x:row>
    <x:row r="69">
      <x:c r="A69" s="15"/>
      <x:c r="B69" s="11" t="str">
        <x:f>IF(A69="","",TEXT(A69,"yyyy-mm"))</x:f>
      </x:c>
      <x:c r="C69" s="11"/>
      <x:c r="D69" s="11"/>
      <x:c r="E69" s="11"/>
      <x:c r="F69" s="11"/>
      <x:c r="G69" s="17"/>
      <x:c r="H69" s="17"/>
      <x:c r="I69" s="17" t="str">
        <x:f>IF(G69="","",G69*H69)</x:f>
      </x:c>
      <x:c r="J69" s="17"/>
      <x:c r="K69" s="11"/>
      <x:c r="L69" s="11"/>
      <x:c r="M69" s="11"/>
      <x:c r="N69" s="11"/>
    </x:row>
    <x:row r="70">
      <x:c r="A70" s="15"/>
      <x:c r="B70" s="11" t="str">
        <x:f>IF(A70="","",TEXT(A70,"yyyy-mm"))</x:f>
      </x:c>
      <x:c r="C70" s="11"/>
      <x:c r="D70" s="11"/>
      <x:c r="E70" s="11"/>
      <x:c r="F70" s="11"/>
      <x:c r="G70" s="17"/>
      <x:c r="H70" s="17"/>
      <x:c r="I70" s="17" t="str">
        <x:f>IF(G70="","",G70*H70)</x:f>
      </x:c>
      <x:c r="J70" s="17"/>
      <x:c r="K70" s="11"/>
      <x:c r="L70" s="11"/>
      <x:c r="M70" s="11"/>
      <x:c r="N70" s="11"/>
    </x:row>
    <x:row r="71">
      <x:c r="A71" s="15"/>
      <x:c r="B71" s="11" t="str">
        <x:f>IF(A71="","",TEXT(A71,"yyyy-mm"))</x:f>
      </x:c>
      <x:c r="C71" s="11"/>
      <x:c r="D71" s="11"/>
      <x:c r="E71" s="11"/>
      <x:c r="F71" s="11"/>
      <x:c r="G71" s="17"/>
      <x:c r="H71" s="17"/>
      <x:c r="I71" s="17" t="str">
        <x:f>IF(G71="","",G71*H71)</x:f>
      </x:c>
      <x:c r="J71" s="17"/>
      <x:c r="K71" s="11"/>
      <x:c r="L71" s="11"/>
      <x:c r="M71" s="11"/>
      <x:c r="N71" s="11"/>
    </x:row>
    <x:row r="72">
      <x:c r="A72" s="15"/>
      <x:c r="B72" s="11" t="str">
        <x:f>IF(A72="","",TEXT(A72,"yyyy-mm"))</x:f>
      </x:c>
      <x:c r="C72" s="11"/>
      <x:c r="D72" s="11"/>
      <x:c r="E72" s="11"/>
      <x:c r="F72" s="11"/>
      <x:c r="G72" s="17"/>
      <x:c r="H72" s="17"/>
      <x:c r="I72" s="17" t="str">
        <x:f>IF(G72="","",G72*H72)</x:f>
      </x:c>
      <x:c r="J72" s="17"/>
      <x:c r="K72" s="11"/>
      <x:c r="L72" s="11"/>
      <x:c r="M72" s="11"/>
      <x:c r="N72" s="11"/>
    </x:row>
    <x:row r="73">
      <x:c r="A73" s="15"/>
      <x:c r="B73" s="11" t="str">
        <x:f>IF(A73="","",TEXT(A73,"yyyy-mm"))</x:f>
      </x:c>
      <x:c r="C73" s="11"/>
      <x:c r="D73" s="11"/>
      <x:c r="E73" s="11"/>
      <x:c r="F73" s="11"/>
      <x:c r="G73" s="17"/>
      <x:c r="H73" s="17"/>
      <x:c r="I73" s="17" t="str">
        <x:f>IF(G73="","",G73*H73)</x:f>
      </x:c>
      <x:c r="J73" s="17"/>
      <x:c r="K73" s="11"/>
      <x:c r="L73" s="11"/>
      <x:c r="M73" s="11"/>
      <x:c r="N73" s="11"/>
    </x:row>
    <x:row r="74">
      <x:c r="A74" s="15"/>
      <x:c r="B74" s="11" t="str">
        <x:f>IF(A74="","",TEXT(A74,"yyyy-mm"))</x:f>
      </x:c>
      <x:c r="C74" s="11"/>
      <x:c r="D74" s="11"/>
      <x:c r="E74" s="11"/>
      <x:c r="F74" s="11"/>
      <x:c r="G74" s="17"/>
      <x:c r="H74" s="17"/>
      <x:c r="I74" s="17" t="str">
        <x:f>IF(G74="","",G74*H74)</x:f>
      </x:c>
      <x:c r="J74" s="17"/>
      <x:c r="K74" s="11"/>
      <x:c r="L74" s="11"/>
      <x:c r="M74" s="11"/>
      <x:c r="N74" s="11"/>
    </x:row>
    <x:row r="75">
      <x:c r="A75" s="15"/>
      <x:c r="B75" s="11" t="str">
        <x:f>IF(A75="","",TEXT(A75,"yyyy-mm"))</x:f>
      </x:c>
      <x:c r="C75" s="11"/>
      <x:c r="D75" s="11"/>
      <x:c r="E75" s="11"/>
      <x:c r="F75" s="11"/>
      <x:c r="G75" s="17"/>
      <x:c r="H75" s="17"/>
      <x:c r="I75" s="17" t="str">
        <x:f>IF(G75="","",G75*H75)</x:f>
      </x:c>
      <x:c r="J75" s="17"/>
      <x:c r="K75" s="11"/>
      <x:c r="L75" s="11"/>
      <x:c r="M75" s="11"/>
      <x:c r="N75" s="11"/>
    </x:row>
    <x:row r="76">
      <x:c r="A76" s="15"/>
      <x:c r="B76" s="11" t="str">
        <x:f>IF(A76="","",TEXT(A76,"yyyy-mm"))</x:f>
      </x:c>
      <x:c r="C76" s="11"/>
      <x:c r="D76" s="11"/>
      <x:c r="E76" s="11"/>
      <x:c r="F76" s="11"/>
      <x:c r="G76" s="17"/>
      <x:c r="H76" s="17"/>
      <x:c r="I76" s="17" t="str">
        <x:f>IF(G76="","",G76*H76)</x:f>
      </x:c>
      <x:c r="J76" s="17"/>
      <x:c r="K76" s="11"/>
      <x:c r="L76" s="11"/>
      <x:c r="M76" s="11"/>
      <x:c r="N76" s="11"/>
    </x:row>
    <x:row r="77">
      <x:c r="A77" s="15"/>
      <x:c r="B77" s="11" t="str">
        <x:f>IF(A77="","",TEXT(A77,"yyyy-mm"))</x:f>
      </x:c>
      <x:c r="C77" s="11"/>
      <x:c r="D77" s="11"/>
      <x:c r="E77" s="11"/>
      <x:c r="F77" s="11"/>
      <x:c r="G77" s="17"/>
      <x:c r="H77" s="17"/>
      <x:c r="I77" s="17" t="str">
        <x:f>IF(G77="","",G77*H77)</x:f>
      </x:c>
      <x:c r="J77" s="17"/>
      <x:c r="K77" s="11"/>
      <x:c r="L77" s="11"/>
      <x:c r="M77" s="11"/>
      <x:c r="N77" s="11"/>
    </x:row>
    <x:row r="78">
      <x:c r="A78" s="15"/>
      <x:c r="B78" s="11" t="str">
        <x:f>IF(A78="","",TEXT(A78,"yyyy-mm"))</x:f>
      </x:c>
      <x:c r="C78" s="11"/>
      <x:c r="D78" s="11"/>
      <x:c r="E78" s="11"/>
      <x:c r="F78" s="11"/>
      <x:c r="G78" s="17"/>
      <x:c r="H78" s="17"/>
      <x:c r="I78" s="17" t="str">
        <x:f>IF(G78="","",G78*H78)</x:f>
      </x:c>
      <x:c r="J78" s="17"/>
      <x:c r="K78" s="11"/>
      <x:c r="L78" s="11"/>
      <x:c r="M78" s="11"/>
      <x:c r="N78" s="11"/>
    </x:row>
    <x:row r="79">
      <x:c r="A79" s="15"/>
      <x:c r="B79" s="11" t="str">
        <x:f>IF(A79="","",TEXT(A79,"yyyy-mm"))</x:f>
      </x:c>
      <x:c r="C79" s="11"/>
      <x:c r="D79" s="11"/>
      <x:c r="E79" s="11"/>
      <x:c r="F79" s="11"/>
      <x:c r="G79" s="17"/>
      <x:c r="H79" s="17"/>
      <x:c r="I79" s="17" t="str">
        <x:f>IF(G79="","",G79*H79)</x:f>
      </x:c>
      <x:c r="J79" s="17"/>
      <x:c r="K79" s="11"/>
      <x:c r="L79" s="11"/>
      <x:c r="M79" s="11"/>
      <x:c r="N79" s="11"/>
    </x:row>
    <x:row r="80">
      <x:c r="A80" s="15"/>
      <x:c r="B80" s="11" t="str">
        <x:f>IF(A80="","",TEXT(A80,"yyyy-mm"))</x:f>
      </x:c>
      <x:c r="C80" s="11"/>
      <x:c r="D80" s="11"/>
      <x:c r="E80" s="11"/>
      <x:c r="F80" s="11"/>
      <x:c r="G80" s="17"/>
      <x:c r="H80" s="17"/>
      <x:c r="I80" s="17" t="str">
        <x:f>IF(G80="","",G80*H80)</x:f>
      </x:c>
      <x:c r="J80" s="17"/>
      <x:c r="K80" s="11"/>
      <x:c r="L80" s="11"/>
      <x:c r="M80" s="11"/>
      <x:c r="N80" s="11"/>
    </x:row>
    <x:row r="81">
      <x:c r="A81" s="15"/>
      <x:c r="B81" s="11" t="str">
        <x:f>IF(A81="","",TEXT(A81,"yyyy-mm"))</x:f>
      </x:c>
      <x:c r="C81" s="11"/>
      <x:c r="D81" s="11"/>
      <x:c r="E81" s="11"/>
      <x:c r="F81" s="11"/>
      <x:c r="G81" s="17"/>
      <x:c r="H81" s="17"/>
      <x:c r="I81" s="17" t="str">
        <x:f>IF(G81="","",G81*H81)</x:f>
      </x:c>
      <x:c r="J81" s="17"/>
      <x:c r="K81" s="11"/>
      <x:c r="L81" s="11"/>
      <x:c r="M81" s="11"/>
      <x:c r="N81" s="11"/>
    </x:row>
    <x:row r="82">
      <x:c r="A82" s="15"/>
      <x:c r="B82" s="11" t="str">
        <x:f>IF(A82="","",TEXT(A82,"yyyy-mm"))</x:f>
      </x:c>
      <x:c r="C82" s="11"/>
      <x:c r="D82" s="11"/>
      <x:c r="E82" s="11"/>
      <x:c r="F82" s="11"/>
      <x:c r="G82" s="17"/>
      <x:c r="H82" s="17"/>
      <x:c r="I82" s="17" t="str">
        <x:f>IF(G82="","",G82*H82)</x:f>
      </x:c>
      <x:c r="J82" s="17"/>
      <x:c r="K82" s="11"/>
      <x:c r="L82" s="11"/>
      <x:c r="M82" s="11"/>
      <x:c r="N82" s="11"/>
    </x:row>
    <x:row r="83">
      <x:c r="A83" s="15"/>
      <x:c r="B83" s="11" t="str">
        <x:f>IF(A83="","",TEXT(A83,"yyyy-mm"))</x:f>
      </x:c>
      <x:c r="C83" s="11"/>
      <x:c r="D83" s="11"/>
      <x:c r="E83" s="11"/>
      <x:c r="F83" s="11"/>
      <x:c r="G83" s="17"/>
      <x:c r="H83" s="17"/>
      <x:c r="I83" s="17" t="str">
        <x:f>IF(G83="","",G83*H83)</x:f>
      </x:c>
      <x:c r="J83" s="17"/>
      <x:c r="K83" s="11"/>
      <x:c r="L83" s="11"/>
      <x:c r="M83" s="11"/>
      <x:c r="N83" s="11"/>
    </x:row>
    <x:row r="84">
      <x:c r="A84" s="15"/>
      <x:c r="B84" s="11" t="str">
        <x:f>IF(A84="","",TEXT(A84,"yyyy-mm"))</x:f>
      </x:c>
      <x:c r="C84" s="11"/>
      <x:c r="D84" s="11"/>
      <x:c r="E84" s="11"/>
      <x:c r="F84" s="11"/>
      <x:c r="G84" s="17"/>
      <x:c r="H84" s="17"/>
      <x:c r="I84" s="17" t="str">
        <x:f>IF(G84="","",G84*H84)</x:f>
      </x:c>
      <x:c r="J84" s="17"/>
      <x:c r="K84" s="11"/>
      <x:c r="L84" s="11"/>
      <x:c r="M84" s="11"/>
      <x:c r="N84" s="11"/>
    </x:row>
    <x:row r="85">
      <x:c r="A85" s="15"/>
      <x:c r="B85" s="11" t="str">
        <x:f>IF(A85="","",TEXT(A85,"yyyy-mm"))</x:f>
      </x:c>
      <x:c r="C85" s="11"/>
      <x:c r="D85" s="11"/>
      <x:c r="E85" s="11"/>
      <x:c r="F85" s="11"/>
      <x:c r="G85" s="17"/>
      <x:c r="H85" s="17"/>
      <x:c r="I85" s="17" t="str">
        <x:f>IF(G85="","",G85*H85)</x:f>
      </x:c>
      <x:c r="J85" s="17"/>
      <x:c r="K85" s="11"/>
      <x:c r="L85" s="11"/>
      <x:c r="M85" s="11"/>
      <x:c r="N85" s="11"/>
    </x:row>
    <x:row r="86">
      <x:c r="A86" s="15"/>
      <x:c r="B86" s="11" t="str">
        <x:f>IF(A86="","",TEXT(A86,"yyyy-mm"))</x:f>
      </x:c>
      <x:c r="C86" s="11"/>
      <x:c r="D86" s="11"/>
      <x:c r="E86" s="11"/>
      <x:c r="F86" s="11"/>
      <x:c r="G86" s="17"/>
      <x:c r="H86" s="17"/>
      <x:c r="I86" s="17" t="str">
        <x:f>IF(G86="","",G86*H86)</x:f>
      </x:c>
      <x:c r="J86" s="17"/>
      <x:c r="K86" s="11"/>
      <x:c r="L86" s="11"/>
      <x:c r="M86" s="11"/>
      <x:c r="N86" s="11"/>
    </x:row>
    <x:row r="87">
      <x:c r="A87" s="15"/>
      <x:c r="B87" s="11" t="str">
        <x:f>IF(A87="","",TEXT(A87,"yyyy-mm"))</x:f>
      </x:c>
      <x:c r="C87" s="11"/>
      <x:c r="D87" s="11"/>
      <x:c r="E87" s="11"/>
      <x:c r="F87" s="11"/>
      <x:c r="G87" s="17"/>
      <x:c r="H87" s="17"/>
      <x:c r="I87" s="17" t="str">
        <x:f>IF(G87="","",G87*H87)</x:f>
      </x:c>
      <x:c r="J87" s="17"/>
      <x:c r="K87" s="11"/>
      <x:c r="L87" s="11"/>
      <x:c r="M87" s="11"/>
      <x:c r="N87" s="11"/>
    </x:row>
    <x:row r="88">
      <x:c r="A88" s="15"/>
      <x:c r="B88" s="11" t="str">
        <x:f>IF(A88="","",TEXT(A88,"yyyy-mm"))</x:f>
      </x:c>
      <x:c r="C88" s="11"/>
      <x:c r="D88" s="11"/>
      <x:c r="E88" s="11"/>
      <x:c r="F88" s="11"/>
      <x:c r="G88" s="17"/>
      <x:c r="H88" s="17"/>
      <x:c r="I88" s="17" t="str">
        <x:f>IF(G88="","",G88*H88)</x:f>
      </x:c>
      <x:c r="J88" s="17"/>
      <x:c r="K88" s="11"/>
      <x:c r="L88" s="11"/>
      <x:c r="M88" s="11"/>
      <x:c r="N88" s="11"/>
    </x:row>
    <x:row r="89">
      <x:c r="A89" s="15"/>
      <x:c r="B89" s="11" t="str">
        <x:f>IF(A89="","",TEXT(A89,"yyyy-mm"))</x:f>
      </x:c>
      <x:c r="C89" s="11"/>
      <x:c r="D89" s="11"/>
      <x:c r="E89" s="11"/>
      <x:c r="F89" s="11"/>
      <x:c r="G89" s="17"/>
      <x:c r="H89" s="17"/>
      <x:c r="I89" s="17" t="str">
        <x:f>IF(G89="","",G89*H89)</x:f>
      </x:c>
      <x:c r="J89" s="17"/>
      <x:c r="K89" s="11"/>
      <x:c r="L89" s="11"/>
      <x:c r="M89" s="11"/>
      <x:c r="N89" s="11"/>
    </x:row>
    <x:row r="90">
      <x:c r="A90" s="15"/>
      <x:c r="B90" s="11" t="str">
        <x:f>IF(A90="","",TEXT(A90,"yyyy-mm"))</x:f>
      </x:c>
      <x:c r="C90" s="11"/>
      <x:c r="D90" s="11"/>
      <x:c r="E90" s="11"/>
      <x:c r="F90" s="11"/>
      <x:c r="G90" s="17"/>
      <x:c r="H90" s="17"/>
      <x:c r="I90" s="17" t="str">
        <x:f>IF(G90="","",G90*H90)</x:f>
      </x:c>
      <x:c r="J90" s="17"/>
      <x:c r="K90" s="11"/>
      <x:c r="L90" s="11"/>
      <x:c r="M90" s="11"/>
      <x:c r="N90" s="11"/>
    </x:row>
    <x:row r="91">
      <x:c r="A91" s="15"/>
      <x:c r="B91" s="11" t="str">
        <x:f>IF(A91="","",TEXT(A91,"yyyy-mm"))</x:f>
      </x:c>
      <x:c r="C91" s="11"/>
      <x:c r="D91" s="11"/>
      <x:c r="E91" s="11"/>
      <x:c r="F91" s="11"/>
      <x:c r="G91" s="17"/>
      <x:c r="H91" s="17"/>
      <x:c r="I91" s="17" t="str">
        <x:f>IF(G91="","",G91*H91)</x:f>
      </x:c>
      <x:c r="J91" s="17"/>
      <x:c r="K91" s="11"/>
      <x:c r="L91" s="11"/>
      <x:c r="M91" s="11"/>
      <x:c r="N91" s="11"/>
    </x:row>
    <x:row r="92">
      <x:c r="A92" s="15"/>
      <x:c r="B92" s="11" t="str">
        <x:f>IF(A92="","",TEXT(A92,"yyyy-mm"))</x:f>
      </x:c>
      <x:c r="C92" s="11"/>
      <x:c r="D92" s="11"/>
      <x:c r="E92" s="11"/>
      <x:c r="F92" s="11"/>
      <x:c r="G92" s="17"/>
      <x:c r="H92" s="17"/>
      <x:c r="I92" s="17" t="str">
        <x:f>IF(G92="","",G92*H92)</x:f>
      </x:c>
      <x:c r="J92" s="17"/>
      <x:c r="K92" s="11"/>
      <x:c r="L92" s="11"/>
      <x:c r="M92" s="11"/>
      <x:c r="N92" s="11"/>
    </x:row>
    <x:row r="93">
      <x:c r="A93" s="15"/>
      <x:c r="B93" s="11" t="str">
        <x:f>IF(A93="","",TEXT(A93,"yyyy-mm"))</x:f>
      </x:c>
      <x:c r="C93" s="11"/>
      <x:c r="D93" s="11"/>
      <x:c r="E93" s="11"/>
      <x:c r="F93" s="11"/>
      <x:c r="G93" s="17"/>
      <x:c r="H93" s="17"/>
      <x:c r="I93" s="17" t="str">
        <x:f>IF(G93="","",G93*H93)</x:f>
      </x:c>
      <x:c r="J93" s="17"/>
      <x:c r="K93" s="11"/>
      <x:c r="L93" s="11"/>
      <x:c r="M93" s="11"/>
      <x:c r="N93" s="11"/>
    </x:row>
    <x:row r="94">
      <x:c r="A94" s="15"/>
      <x:c r="B94" s="11" t="str">
        <x:f>IF(A94="","",TEXT(A94,"yyyy-mm"))</x:f>
      </x:c>
      <x:c r="C94" s="11"/>
      <x:c r="D94" s="11"/>
      <x:c r="E94" s="11"/>
      <x:c r="F94" s="11"/>
      <x:c r="G94" s="17"/>
      <x:c r="H94" s="17"/>
      <x:c r="I94" s="17" t="str">
        <x:f>IF(G94="","",G94*H94)</x:f>
      </x:c>
      <x:c r="J94" s="17"/>
      <x:c r="K94" s="11"/>
      <x:c r="L94" s="11"/>
      <x:c r="M94" s="11"/>
      <x:c r="N94" s="11"/>
    </x:row>
    <x:row r="95">
      <x:c r="A95" s="15"/>
      <x:c r="B95" s="11" t="str">
        <x:f>IF(A95="","",TEXT(A95,"yyyy-mm"))</x:f>
      </x:c>
      <x:c r="C95" s="11"/>
      <x:c r="D95" s="11"/>
      <x:c r="E95" s="11"/>
      <x:c r="F95" s="11"/>
      <x:c r="G95" s="17"/>
      <x:c r="H95" s="17"/>
      <x:c r="I95" s="17" t="str">
        <x:f>IF(G95="","",G95*H95)</x:f>
      </x:c>
      <x:c r="J95" s="17"/>
      <x:c r="K95" s="11"/>
      <x:c r="L95" s="11"/>
      <x:c r="M95" s="11"/>
      <x:c r="N95" s="11"/>
    </x:row>
    <x:row r="96">
      <x:c r="A96" s="15"/>
      <x:c r="B96" s="11" t="str">
        <x:f>IF(A96="","",TEXT(A96,"yyyy-mm"))</x:f>
      </x:c>
      <x:c r="C96" s="11"/>
      <x:c r="D96" s="11"/>
      <x:c r="E96" s="11"/>
      <x:c r="F96" s="11"/>
      <x:c r="G96" s="17"/>
      <x:c r="H96" s="17"/>
      <x:c r="I96" s="17" t="str">
        <x:f>IF(G96="","",G96*H96)</x:f>
      </x:c>
      <x:c r="J96" s="17"/>
      <x:c r="K96" s="11"/>
      <x:c r="L96" s="11"/>
      <x:c r="M96" s="11"/>
      <x:c r="N96" s="11"/>
    </x:row>
    <x:row r="97">
      <x:c r="A97" s="15"/>
      <x:c r="B97" s="11" t="str">
        <x:f>IF(A97="","",TEXT(A97,"yyyy-mm"))</x:f>
      </x:c>
      <x:c r="C97" s="11"/>
      <x:c r="D97" s="11"/>
      <x:c r="E97" s="11"/>
      <x:c r="F97" s="11"/>
      <x:c r="G97" s="17"/>
      <x:c r="H97" s="17"/>
      <x:c r="I97" s="17" t="str">
        <x:f>IF(G97="","",G97*H97)</x:f>
      </x:c>
      <x:c r="J97" s="17"/>
      <x:c r="K97" s="11"/>
      <x:c r="L97" s="11"/>
      <x:c r="M97" s="11"/>
      <x:c r="N97" s="11"/>
    </x:row>
    <x:row r="98">
      <x:c r="A98" s="15"/>
      <x:c r="B98" s="11" t="str">
        <x:f>IF(A98="","",TEXT(A98,"yyyy-mm"))</x:f>
      </x:c>
      <x:c r="C98" s="11"/>
      <x:c r="D98" s="11"/>
      <x:c r="E98" s="11"/>
      <x:c r="F98" s="11"/>
      <x:c r="G98" s="17"/>
      <x:c r="H98" s="17"/>
      <x:c r="I98" s="17" t="str">
        <x:f>IF(G98="","",G98*H98)</x:f>
      </x:c>
      <x:c r="J98" s="17"/>
      <x:c r="K98" s="11"/>
      <x:c r="L98" s="11"/>
      <x:c r="M98" s="11"/>
      <x:c r="N98" s="11"/>
    </x:row>
    <x:row r="99">
      <x:c r="A99" s="15"/>
      <x:c r="B99" s="11" t="str">
        <x:f>IF(A99="","",TEXT(A99,"yyyy-mm"))</x:f>
      </x:c>
      <x:c r="C99" s="11"/>
      <x:c r="D99" s="11"/>
      <x:c r="E99" s="11"/>
      <x:c r="F99" s="11"/>
      <x:c r="G99" s="17"/>
      <x:c r="H99" s="17"/>
      <x:c r="I99" s="17" t="str">
        <x:f>IF(G99="","",G99*H99)</x:f>
      </x:c>
      <x:c r="J99" s="17"/>
      <x:c r="K99" s="11"/>
      <x:c r="L99" s="11"/>
      <x:c r="M99" s="11"/>
      <x:c r="N99" s="11"/>
    </x:row>
    <x:row r="100">
      <x:c r="A100" s="15"/>
      <x:c r="B100" s="11" t="str">
        <x:f>IF(A100="","",TEXT(A100,"yyyy-mm"))</x:f>
      </x:c>
      <x:c r="C100" s="11"/>
      <x:c r="D100" s="11"/>
      <x:c r="E100" s="11"/>
      <x:c r="F100" s="11"/>
      <x:c r="G100" s="17"/>
      <x:c r="H100" s="17"/>
      <x:c r="I100" s="17" t="str">
        <x:f>IF(G100="","",G100*H100)</x:f>
      </x:c>
      <x:c r="J100" s="17"/>
      <x:c r="K100" s="11"/>
      <x:c r="L100" s="11"/>
      <x:c r="M100" s="11"/>
      <x:c r="N100" s="11"/>
    </x:row>
    <x:row r="101">
      <x:c r="A101" s="15"/>
      <x:c r="B101" s="11" t="str">
        <x:f>IF(A101="","",TEXT(A101,"yyyy-mm"))</x:f>
      </x:c>
      <x:c r="C101" s="11"/>
      <x:c r="D101" s="11"/>
      <x:c r="E101" s="11"/>
      <x:c r="F101" s="11"/>
      <x:c r="G101" s="17"/>
      <x:c r="H101" s="17"/>
      <x:c r="I101" s="17" t="str">
        <x:f>IF(G101="","",G101*H101)</x:f>
      </x:c>
      <x:c r="J101" s="17"/>
      <x:c r="K101" s="11"/>
      <x:c r="L101" s="11"/>
      <x:c r="M101" s="11"/>
      <x:c r="N101" s="11"/>
    </x:row>
    <x:row r="102">
      <x:c r="A102" s="15"/>
      <x:c r="B102" s="11" t="str">
        <x:f>IF(A102="","",TEXT(A102,"yyyy-mm"))</x:f>
      </x:c>
      <x:c r="C102" s="11"/>
      <x:c r="D102" s="11"/>
      <x:c r="E102" s="11"/>
      <x:c r="F102" s="11"/>
      <x:c r="G102" s="17"/>
      <x:c r="H102" s="17"/>
      <x:c r="I102" s="17" t="str">
        <x:f>IF(G102="","",G102*H102)</x:f>
      </x:c>
      <x:c r="J102" s="17"/>
      <x:c r="K102" s="11"/>
      <x:c r="L102" s="11"/>
      <x:c r="M102" s="11"/>
      <x:c r="N102" s="11"/>
    </x:row>
    <x:row r="103">
      <x:c r="A103" s="15"/>
      <x:c r="B103" s="11" t="str">
        <x:f>IF(A103="","",TEXT(A103,"yyyy-mm"))</x:f>
      </x:c>
      <x:c r="C103" s="11"/>
      <x:c r="D103" s="11"/>
      <x:c r="E103" s="11"/>
      <x:c r="F103" s="11"/>
      <x:c r="G103" s="17"/>
      <x:c r="H103" s="17"/>
      <x:c r="I103" s="17" t="str">
        <x:f>IF(G103="","",G103*H103)</x:f>
      </x:c>
      <x:c r="J103" s="17"/>
      <x:c r="K103" s="11"/>
      <x:c r="L103" s="11"/>
      <x:c r="M103" s="11"/>
      <x:c r="N103" s="11"/>
    </x:row>
    <x:row r="104">
      <x:c r="A104" s="15"/>
      <x:c r="B104" s="11" t="str">
        <x:f>IF(A104="","",TEXT(A104,"yyyy-mm"))</x:f>
      </x:c>
      <x:c r="C104" s="11"/>
      <x:c r="D104" s="11"/>
      <x:c r="E104" s="11"/>
      <x:c r="F104" s="11"/>
      <x:c r="G104" s="17"/>
      <x:c r="H104" s="17"/>
      <x:c r="I104" s="17" t="str">
        <x:f>IF(G104="","",G104*H104)</x:f>
      </x:c>
      <x:c r="J104" s="17"/>
      <x:c r="K104" s="11"/>
      <x:c r="L104" s="11"/>
      <x:c r="M104" s="11"/>
      <x:c r="N104" s="11"/>
    </x:row>
    <x:row r="105">
      <x:c r="A105" s="15"/>
      <x:c r="B105" s="11" t="str">
        <x:f>IF(A105="","",TEXT(A105,"yyyy-mm"))</x:f>
      </x:c>
      <x:c r="C105" s="11"/>
      <x:c r="D105" s="11"/>
      <x:c r="E105" s="11"/>
      <x:c r="F105" s="11"/>
      <x:c r="G105" s="17"/>
      <x:c r="H105" s="17"/>
      <x:c r="I105" s="17" t="str">
        <x:f>IF(G105="","",G105*H105)</x:f>
      </x:c>
      <x:c r="J105" s="17"/>
      <x:c r="K105" s="11"/>
      <x:c r="L105" s="11"/>
      <x:c r="M105" s="11"/>
      <x:c r="N105" s="11"/>
    </x:row>
    <x:row r="106">
      <x:c r="A106" s="15"/>
      <x:c r="B106" s="11" t="str">
        <x:f>IF(A106="","",TEXT(A106,"yyyy-mm"))</x:f>
      </x:c>
      <x:c r="C106" s="11"/>
      <x:c r="D106" s="11"/>
      <x:c r="E106" s="11"/>
      <x:c r="F106" s="11"/>
      <x:c r="G106" s="17"/>
      <x:c r="H106" s="17"/>
      <x:c r="I106" s="17" t="str">
        <x:f>IF(G106="","",G106*H106)</x:f>
      </x:c>
      <x:c r="J106" s="17"/>
      <x:c r="K106" s="11"/>
      <x:c r="L106" s="11"/>
      <x:c r="M106" s="11"/>
      <x:c r="N106" s="11"/>
    </x:row>
    <x:row r="107">
      <x:c r="A107" s="15"/>
      <x:c r="B107" s="11" t="str">
        <x:f>IF(A107="","",TEXT(A107,"yyyy-mm"))</x:f>
      </x:c>
      <x:c r="C107" s="11"/>
      <x:c r="D107" s="11"/>
      <x:c r="E107" s="11"/>
      <x:c r="F107" s="11"/>
      <x:c r="G107" s="17"/>
      <x:c r="H107" s="17"/>
      <x:c r="I107" s="17" t="str">
        <x:f>IF(G107="","",G107*H107)</x:f>
      </x:c>
      <x:c r="J107" s="17"/>
      <x:c r="K107" s="11"/>
      <x:c r="L107" s="11"/>
      <x:c r="M107" s="11"/>
      <x:c r="N107" s="11"/>
    </x:row>
    <x:row r="108">
      <x:c r="A108" s="15"/>
      <x:c r="B108" s="11" t="str">
        <x:f>IF(A108="","",TEXT(A108,"yyyy-mm"))</x:f>
      </x:c>
      <x:c r="C108" s="11"/>
      <x:c r="D108" s="11"/>
      <x:c r="E108" s="11"/>
      <x:c r="F108" s="11"/>
      <x:c r="G108" s="17"/>
      <x:c r="H108" s="17"/>
      <x:c r="I108" s="17" t="str">
        <x:f>IF(G108="","",G108*H108)</x:f>
      </x:c>
      <x:c r="J108" s="17"/>
      <x:c r="K108" s="11"/>
      <x:c r="L108" s="11"/>
      <x:c r="M108" s="11"/>
      <x:c r="N108" s="11"/>
    </x:row>
    <x:row r="109">
      <x:c r="A109" s="15"/>
      <x:c r="B109" s="11" t="str">
        <x:f>IF(A109="","",TEXT(A109,"yyyy-mm"))</x:f>
      </x:c>
      <x:c r="C109" s="11"/>
      <x:c r="D109" s="11"/>
      <x:c r="E109" s="11"/>
      <x:c r="F109" s="11"/>
      <x:c r="G109" s="17"/>
      <x:c r="H109" s="17"/>
      <x:c r="I109" s="17" t="str">
        <x:f>IF(G109="","",G109*H109)</x:f>
      </x:c>
      <x:c r="J109" s="17"/>
      <x:c r="K109" s="11"/>
      <x:c r="L109" s="11"/>
      <x:c r="M109" s="11"/>
      <x:c r="N109" s="11"/>
    </x:row>
    <x:row r="110">
      <x:c r="A110" s="15"/>
      <x:c r="B110" s="11" t="str">
        <x:f>IF(A110="","",TEXT(A110,"yyyy-mm"))</x:f>
      </x:c>
      <x:c r="C110" s="11"/>
      <x:c r="D110" s="11"/>
      <x:c r="E110" s="11"/>
      <x:c r="F110" s="11"/>
      <x:c r="G110" s="17"/>
      <x:c r="H110" s="17"/>
      <x:c r="I110" s="17" t="str">
        <x:f>IF(G110="","",G110*H110)</x:f>
      </x:c>
      <x:c r="J110" s="17"/>
      <x:c r="K110" s="11"/>
      <x:c r="L110" s="11"/>
      <x:c r="M110" s="11"/>
      <x:c r="N110" s="11"/>
    </x:row>
    <x:row r="111">
      <x:c r="A111" s="15"/>
      <x:c r="B111" s="11" t="str">
        <x:f>IF(A111="","",TEXT(A111,"yyyy-mm"))</x:f>
      </x:c>
      <x:c r="C111" s="11"/>
      <x:c r="D111" s="11"/>
      <x:c r="E111" s="11"/>
      <x:c r="F111" s="11"/>
      <x:c r="G111" s="17"/>
      <x:c r="H111" s="17"/>
      <x:c r="I111" s="17" t="str">
        <x:f>IF(G111="","",G111*H111)</x:f>
      </x:c>
      <x:c r="J111" s="17"/>
      <x:c r="K111" s="11"/>
      <x:c r="L111" s="11"/>
      <x:c r="M111" s="11"/>
      <x:c r="N111" s="11"/>
    </x:row>
    <x:row r="112">
      <x:c r="A112" s="15"/>
      <x:c r="B112" s="11" t="str">
        <x:f>IF(A112="","",TEXT(A112,"yyyy-mm"))</x:f>
      </x:c>
      <x:c r="C112" s="11"/>
      <x:c r="D112" s="11"/>
      <x:c r="E112" s="11"/>
      <x:c r="F112" s="11"/>
      <x:c r="G112" s="17"/>
      <x:c r="H112" s="17"/>
      <x:c r="I112" s="17" t="str">
        <x:f>IF(G112="","",G112*H112)</x:f>
      </x:c>
      <x:c r="J112" s="17"/>
      <x:c r="K112" s="11"/>
      <x:c r="L112" s="11"/>
      <x:c r="M112" s="11"/>
      <x:c r="N112" s="11"/>
    </x:row>
    <x:row r="113">
      <x:c r="A113" s="15"/>
      <x:c r="B113" s="11" t="str">
        <x:f>IF(A113="","",TEXT(A113,"yyyy-mm"))</x:f>
      </x:c>
      <x:c r="C113" s="11"/>
      <x:c r="D113" s="11"/>
      <x:c r="E113" s="11"/>
      <x:c r="F113" s="11"/>
      <x:c r="G113" s="17"/>
      <x:c r="H113" s="17"/>
      <x:c r="I113" s="17" t="str">
        <x:f>IF(G113="","",G113*H113)</x:f>
      </x:c>
      <x:c r="J113" s="17"/>
      <x:c r="K113" s="11"/>
      <x:c r="L113" s="11"/>
      <x:c r="M113" s="11"/>
      <x:c r="N113" s="11"/>
    </x:row>
    <x:row r="114">
      <x:c r="A114" s="15"/>
      <x:c r="B114" s="11" t="str">
        <x:f>IF(A114="","",TEXT(A114,"yyyy-mm"))</x:f>
      </x:c>
      <x:c r="C114" s="11"/>
      <x:c r="D114" s="11"/>
      <x:c r="E114" s="11"/>
      <x:c r="F114" s="11"/>
      <x:c r="G114" s="17"/>
      <x:c r="H114" s="17"/>
      <x:c r="I114" s="17" t="str">
        <x:f>IF(G114="","",G114*H114)</x:f>
      </x:c>
      <x:c r="J114" s="17"/>
      <x:c r="K114" s="11"/>
      <x:c r="L114" s="11"/>
      <x:c r="M114" s="11"/>
      <x:c r="N114" s="11"/>
    </x:row>
    <x:row r="115">
      <x:c r="A115" s="15"/>
      <x:c r="B115" s="11" t="str">
        <x:f>IF(A115="","",TEXT(A115,"yyyy-mm"))</x:f>
      </x:c>
      <x:c r="C115" s="11"/>
      <x:c r="D115" s="11"/>
      <x:c r="E115" s="11"/>
      <x:c r="F115" s="11"/>
      <x:c r="G115" s="17"/>
      <x:c r="H115" s="17"/>
      <x:c r="I115" s="17" t="str">
        <x:f>IF(G115="","",G115*H115)</x:f>
      </x:c>
      <x:c r="J115" s="17"/>
      <x:c r="K115" s="11"/>
      <x:c r="L115" s="11"/>
      <x:c r="M115" s="11"/>
      <x:c r="N115" s="11"/>
    </x:row>
    <x:row r="116">
      <x:c r="A116" s="15"/>
      <x:c r="B116" s="11" t="str">
        <x:f>IF(A116="","",TEXT(A116,"yyyy-mm"))</x:f>
      </x:c>
      <x:c r="C116" s="11"/>
      <x:c r="D116" s="11"/>
      <x:c r="E116" s="11"/>
      <x:c r="F116" s="11"/>
      <x:c r="G116" s="17"/>
      <x:c r="H116" s="17"/>
      <x:c r="I116" s="17" t="str">
        <x:f>IF(G116="","",G116*H116)</x:f>
      </x:c>
      <x:c r="J116" s="17"/>
      <x:c r="K116" s="11"/>
      <x:c r="L116" s="11"/>
      <x:c r="M116" s="11"/>
      <x:c r="N116" s="11"/>
    </x:row>
    <x:row r="117">
      <x:c r="A117" s="15"/>
      <x:c r="B117" s="11" t="str">
        <x:f>IF(A117="","",TEXT(A117,"yyyy-mm"))</x:f>
      </x:c>
      <x:c r="C117" s="11"/>
      <x:c r="D117" s="11"/>
      <x:c r="E117" s="11"/>
      <x:c r="F117" s="11"/>
      <x:c r="G117" s="17"/>
      <x:c r="H117" s="17"/>
      <x:c r="I117" s="17" t="str">
        <x:f>IF(G117="","",G117*H117)</x:f>
      </x:c>
      <x:c r="J117" s="17"/>
      <x:c r="K117" s="11"/>
      <x:c r="L117" s="11"/>
      <x:c r="M117" s="11"/>
      <x:c r="N117" s="11"/>
    </x:row>
    <x:row r="118">
      <x:c r="A118" s="15"/>
      <x:c r="B118" s="11" t="str">
        <x:f>IF(A118="","",TEXT(A118,"yyyy-mm"))</x:f>
      </x:c>
      <x:c r="C118" s="11"/>
      <x:c r="D118" s="11"/>
      <x:c r="E118" s="11"/>
      <x:c r="F118" s="11"/>
      <x:c r="G118" s="17"/>
      <x:c r="H118" s="17"/>
      <x:c r="I118" s="17" t="str">
        <x:f>IF(G118="","",G118*H118)</x:f>
      </x:c>
      <x:c r="J118" s="17"/>
      <x:c r="K118" s="11"/>
      <x:c r="L118" s="11"/>
      <x:c r="M118" s="11"/>
      <x:c r="N118" s="11"/>
    </x:row>
    <x:row r="119">
      <x:c r="A119" s="15"/>
      <x:c r="B119" s="11" t="str">
        <x:f>IF(A119="","",TEXT(A119,"yyyy-mm"))</x:f>
      </x:c>
      <x:c r="C119" s="11"/>
      <x:c r="D119" s="11"/>
      <x:c r="E119" s="11"/>
      <x:c r="F119" s="11"/>
      <x:c r="G119" s="17"/>
      <x:c r="H119" s="17"/>
      <x:c r="I119" s="17" t="str">
        <x:f>IF(G119="","",G119*H119)</x:f>
      </x:c>
      <x:c r="J119" s="17"/>
      <x:c r="K119" s="11"/>
      <x:c r="L119" s="11"/>
      <x:c r="M119" s="11"/>
      <x:c r="N119" s="11"/>
    </x:row>
    <x:row r="120">
      <x:c r="A120" s="15"/>
      <x:c r="B120" s="11" t="str">
        <x:f>IF(A120="","",TEXT(A120,"yyyy-mm"))</x:f>
      </x:c>
      <x:c r="C120" s="11"/>
      <x:c r="D120" s="11"/>
      <x:c r="E120" s="11"/>
      <x:c r="F120" s="11"/>
      <x:c r="G120" s="17"/>
      <x:c r="H120" s="17"/>
      <x:c r="I120" s="17" t="str">
        <x:f>IF(G120="","",G120*H120)</x:f>
      </x:c>
      <x:c r="J120" s="17"/>
      <x:c r="K120" s="11"/>
      <x:c r="L120" s="11"/>
      <x:c r="M120" s="11"/>
      <x:c r="N120" s="11"/>
    </x:row>
    <x:row r="121">
      <x:c r="A121" s="15"/>
      <x:c r="B121" s="11" t="str">
        <x:f>IF(A121="","",TEXT(A121,"yyyy-mm"))</x:f>
      </x:c>
      <x:c r="C121" s="11"/>
      <x:c r="D121" s="11"/>
      <x:c r="E121" s="11"/>
      <x:c r="F121" s="11"/>
      <x:c r="G121" s="17"/>
      <x:c r="H121" s="17"/>
      <x:c r="I121" s="17" t="str">
        <x:f>IF(G121="","",G121*H121)</x:f>
      </x:c>
      <x:c r="J121" s="17"/>
      <x:c r="K121" s="11"/>
      <x:c r="L121" s="11"/>
      <x:c r="M121" s="11"/>
      <x:c r="N121" s="11"/>
    </x:row>
    <x:row r="122">
      <x:c r="A122" s="15"/>
      <x:c r="B122" s="11" t="str">
        <x:f>IF(A122="","",TEXT(A122,"yyyy-mm"))</x:f>
      </x:c>
      <x:c r="C122" s="11"/>
      <x:c r="D122" s="11"/>
      <x:c r="E122" s="11"/>
      <x:c r="F122" s="11"/>
      <x:c r="G122" s="17"/>
      <x:c r="H122" s="17"/>
      <x:c r="I122" s="17" t="str">
        <x:f>IF(G122="","",G122*H122)</x:f>
      </x:c>
      <x:c r="J122" s="17"/>
      <x:c r="K122" s="11"/>
      <x:c r="L122" s="11"/>
      <x:c r="M122" s="11"/>
      <x:c r="N122" s="11"/>
    </x:row>
    <x:row r="123">
      <x:c r="A123" s="15"/>
      <x:c r="B123" s="11" t="str">
        <x:f>IF(A123="","",TEXT(A123,"yyyy-mm"))</x:f>
      </x:c>
      <x:c r="C123" s="11"/>
      <x:c r="D123" s="11"/>
      <x:c r="E123" s="11"/>
      <x:c r="F123" s="11"/>
      <x:c r="G123" s="17"/>
      <x:c r="H123" s="17"/>
      <x:c r="I123" s="17" t="str">
        <x:f>IF(G123="","",G123*H123)</x:f>
      </x:c>
      <x:c r="J123" s="17"/>
      <x:c r="K123" s="11"/>
      <x:c r="L123" s="11"/>
      <x:c r="M123" s="11"/>
      <x:c r="N123" s="11"/>
    </x:row>
    <x:row r="124">
      <x:c r="A124" s="15"/>
      <x:c r="B124" s="11" t="str">
        <x:f>IF(A124="","",TEXT(A124,"yyyy-mm"))</x:f>
      </x:c>
      <x:c r="C124" s="11"/>
      <x:c r="D124" s="11"/>
      <x:c r="E124" s="11"/>
      <x:c r="F124" s="11"/>
      <x:c r="G124" s="17"/>
      <x:c r="H124" s="17"/>
      <x:c r="I124" s="17" t="str">
        <x:f>IF(G124="","",G124*H124)</x:f>
      </x:c>
      <x:c r="J124" s="17"/>
      <x:c r="K124" s="11"/>
      <x:c r="L124" s="11"/>
      <x:c r="M124" s="11"/>
      <x:c r="N124" s="11"/>
    </x:row>
    <x:row r="125">
      <x:c r="A125" s="15"/>
      <x:c r="B125" s="11" t="str">
        <x:f>IF(A125="","",TEXT(A125,"yyyy-mm"))</x:f>
      </x:c>
      <x:c r="C125" s="11"/>
      <x:c r="D125" s="11"/>
      <x:c r="E125" s="11"/>
      <x:c r="F125" s="11"/>
      <x:c r="G125" s="17"/>
      <x:c r="H125" s="17"/>
      <x:c r="I125" s="17" t="str">
        <x:f>IF(G125="","",G125*H125)</x:f>
      </x:c>
      <x:c r="J125" s="17"/>
      <x:c r="K125" s="11"/>
      <x:c r="L125" s="11"/>
      <x:c r="M125" s="11"/>
      <x:c r="N125" s="11"/>
    </x:row>
    <x:row r="126">
      <x:c r="A126" s="15"/>
      <x:c r="B126" s="11" t="str">
        <x:f>IF(A126="","",TEXT(A126,"yyyy-mm"))</x:f>
      </x:c>
      <x:c r="C126" s="11"/>
      <x:c r="D126" s="11"/>
      <x:c r="E126" s="11"/>
      <x:c r="F126" s="11"/>
      <x:c r="G126" s="17"/>
      <x:c r="H126" s="17"/>
      <x:c r="I126" s="17" t="str">
        <x:f>IF(G126="","",G126*H126)</x:f>
      </x:c>
      <x:c r="J126" s="17"/>
      <x:c r="K126" s="11"/>
      <x:c r="L126" s="11"/>
      <x:c r="M126" s="11"/>
      <x:c r="N126" s="11"/>
    </x:row>
    <x:row r="127">
      <x:c r="A127" s="15"/>
      <x:c r="B127" s="11" t="str">
        <x:f>IF(A127="","",TEXT(A127,"yyyy-mm"))</x:f>
      </x:c>
      <x:c r="C127" s="11"/>
      <x:c r="D127" s="11"/>
      <x:c r="E127" s="11"/>
      <x:c r="F127" s="11"/>
      <x:c r="G127" s="17"/>
      <x:c r="H127" s="17"/>
      <x:c r="I127" s="17" t="str">
        <x:f>IF(G127="","",G127*H127)</x:f>
      </x:c>
      <x:c r="J127" s="17"/>
      <x:c r="K127" s="11"/>
      <x:c r="L127" s="11"/>
      <x:c r="M127" s="11"/>
      <x:c r="N127" s="11"/>
    </x:row>
    <x:row r="128">
      <x:c r="A128" s="15"/>
      <x:c r="B128" s="11" t="str">
        <x:f>IF(A128="","",TEXT(A128,"yyyy-mm"))</x:f>
      </x:c>
      <x:c r="C128" s="11"/>
      <x:c r="D128" s="11"/>
      <x:c r="E128" s="11"/>
      <x:c r="F128" s="11"/>
      <x:c r="G128" s="17"/>
      <x:c r="H128" s="17"/>
      <x:c r="I128" s="17" t="str">
        <x:f>IF(G128="","",G128*H128)</x:f>
      </x:c>
      <x:c r="J128" s="17"/>
      <x:c r="K128" s="11"/>
      <x:c r="L128" s="11"/>
      <x:c r="M128" s="11"/>
      <x:c r="N128" s="11"/>
    </x:row>
    <x:row r="129">
      <x:c r="A129" s="15"/>
      <x:c r="B129" s="11" t="str">
        <x:f>IF(A129="","",TEXT(A129,"yyyy-mm"))</x:f>
      </x:c>
      <x:c r="C129" s="11"/>
      <x:c r="D129" s="11"/>
      <x:c r="E129" s="11"/>
      <x:c r="F129" s="11"/>
      <x:c r="G129" s="17"/>
      <x:c r="H129" s="17"/>
      <x:c r="I129" s="17" t="str">
        <x:f>IF(G129="","",G129*H129)</x:f>
      </x:c>
      <x:c r="J129" s="17"/>
      <x:c r="K129" s="11"/>
      <x:c r="L129" s="11"/>
      <x:c r="M129" s="11"/>
      <x:c r="N129" s="11"/>
    </x:row>
    <x:row r="130">
      <x:c r="A130" s="15"/>
      <x:c r="B130" s="11" t="str">
        <x:f>IF(A130="","",TEXT(A130,"yyyy-mm"))</x:f>
      </x:c>
      <x:c r="C130" s="11"/>
      <x:c r="D130" s="11"/>
      <x:c r="E130" s="11"/>
      <x:c r="F130" s="11"/>
      <x:c r="G130" s="17"/>
      <x:c r="H130" s="17"/>
      <x:c r="I130" s="17" t="str">
        <x:f>IF(G130="","",G130*H130)</x:f>
      </x:c>
      <x:c r="J130" s="17"/>
      <x:c r="K130" s="11"/>
      <x:c r="L130" s="11"/>
      <x:c r="M130" s="11"/>
      <x:c r="N130" s="11"/>
    </x:row>
    <x:row r="131">
      <x:c r="A131" s="15"/>
      <x:c r="B131" s="11" t="str">
        <x:f>IF(A131="","",TEXT(A131,"yyyy-mm"))</x:f>
      </x:c>
      <x:c r="C131" s="11"/>
      <x:c r="D131" s="11"/>
      <x:c r="E131" s="11"/>
      <x:c r="F131" s="11"/>
      <x:c r="G131" s="17"/>
      <x:c r="H131" s="17"/>
      <x:c r="I131" s="17" t="str">
        <x:f>IF(G131="","",G131*H131)</x:f>
      </x:c>
      <x:c r="J131" s="17"/>
      <x:c r="K131" s="11"/>
      <x:c r="L131" s="11"/>
      <x:c r="M131" s="11"/>
      <x:c r="N131" s="11"/>
    </x:row>
    <x:row r="132">
      <x:c r="A132" s="15"/>
      <x:c r="B132" s="11" t="str">
        <x:f>IF(A132="","",TEXT(A132,"yyyy-mm"))</x:f>
      </x:c>
      <x:c r="C132" s="11"/>
      <x:c r="D132" s="11"/>
      <x:c r="E132" s="11"/>
      <x:c r="F132" s="11"/>
      <x:c r="G132" s="17"/>
      <x:c r="H132" s="17"/>
      <x:c r="I132" s="17" t="str">
        <x:f>IF(G132="","",G132*H132)</x:f>
      </x:c>
      <x:c r="J132" s="17"/>
      <x:c r="K132" s="11"/>
      <x:c r="L132" s="11"/>
      <x:c r="M132" s="11"/>
      <x:c r="N132" s="11"/>
    </x:row>
    <x:row r="133">
      <x:c r="A133" s="15"/>
      <x:c r="B133" s="11" t="str">
        <x:f>IF(A133="","",TEXT(A133,"yyyy-mm"))</x:f>
      </x:c>
      <x:c r="C133" s="11"/>
      <x:c r="D133" s="11"/>
      <x:c r="E133" s="11"/>
      <x:c r="F133" s="11"/>
      <x:c r="G133" s="17"/>
      <x:c r="H133" s="17"/>
      <x:c r="I133" s="17" t="str">
        <x:f>IF(G133="","",G133*H133)</x:f>
      </x:c>
      <x:c r="J133" s="17"/>
      <x:c r="K133" s="11"/>
      <x:c r="L133" s="11"/>
      <x:c r="M133" s="11"/>
      <x:c r="N133" s="11"/>
    </x:row>
    <x:row r="134">
      <x:c r="A134" s="15"/>
      <x:c r="B134" s="11" t="str">
        <x:f>IF(A134="","",TEXT(A134,"yyyy-mm"))</x:f>
      </x:c>
      <x:c r="C134" s="11"/>
      <x:c r="D134" s="11"/>
      <x:c r="E134" s="11"/>
      <x:c r="F134" s="11"/>
      <x:c r="G134" s="17"/>
      <x:c r="H134" s="17"/>
      <x:c r="I134" s="17" t="str">
        <x:f>IF(G134="","",G134*H134)</x:f>
      </x:c>
      <x:c r="J134" s="17"/>
      <x:c r="K134" s="11"/>
      <x:c r="L134" s="11"/>
      <x:c r="M134" s="11"/>
      <x:c r="N134" s="11"/>
    </x:row>
    <x:row r="135">
      <x:c r="A135" s="15"/>
      <x:c r="B135" s="11" t="str">
        <x:f>IF(A135="","",TEXT(A135,"yyyy-mm"))</x:f>
      </x:c>
      <x:c r="C135" s="11"/>
      <x:c r="D135" s="11"/>
      <x:c r="E135" s="11"/>
      <x:c r="F135" s="11"/>
      <x:c r="G135" s="17"/>
      <x:c r="H135" s="17"/>
      <x:c r="I135" s="17" t="str">
        <x:f>IF(G135="","",G135*H135)</x:f>
      </x:c>
      <x:c r="J135" s="17"/>
      <x:c r="K135" s="11"/>
      <x:c r="L135" s="11"/>
      <x:c r="M135" s="11"/>
      <x:c r="N135" s="11"/>
    </x:row>
    <x:row r="136">
      <x:c r="A136" s="15"/>
      <x:c r="B136" s="11" t="str">
        <x:f>IF(A136="","",TEXT(A136,"yyyy-mm"))</x:f>
      </x:c>
      <x:c r="C136" s="11"/>
      <x:c r="D136" s="11"/>
      <x:c r="E136" s="11"/>
      <x:c r="F136" s="11"/>
      <x:c r="G136" s="17"/>
      <x:c r="H136" s="17"/>
      <x:c r="I136" s="17" t="str">
        <x:f>IF(G136="","",G136*H136)</x:f>
      </x:c>
      <x:c r="J136" s="17"/>
      <x:c r="K136" s="11"/>
      <x:c r="L136" s="11"/>
      <x:c r="M136" s="11"/>
      <x:c r="N136" s="11"/>
    </x:row>
    <x:row r="137">
      <x:c r="A137" s="15"/>
      <x:c r="B137" s="11" t="str">
        <x:f>IF(A137="","",TEXT(A137,"yyyy-mm"))</x:f>
      </x:c>
      <x:c r="C137" s="11"/>
      <x:c r="D137" s="11"/>
      <x:c r="E137" s="11"/>
      <x:c r="F137" s="11"/>
      <x:c r="G137" s="17"/>
      <x:c r="H137" s="17"/>
      <x:c r="I137" s="17" t="str">
        <x:f>IF(G137="","",G137*H137)</x:f>
      </x:c>
      <x:c r="J137" s="17"/>
      <x:c r="K137" s="11"/>
      <x:c r="L137" s="11"/>
      <x:c r="M137" s="11"/>
      <x:c r="N137" s="11"/>
    </x:row>
    <x:row r="138">
      <x:c r="A138" s="15"/>
      <x:c r="B138" s="11" t="str">
        <x:f>IF(A138="","",TEXT(A138,"yyyy-mm"))</x:f>
      </x:c>
      <x:c r="C138" s="11"/>
      <x:c r="D138" s="11"/>
      <x:c r="E138" s="11"/>
      <x:c r="F138" s="11"/>
      <x:c r="G138" s="17"/>
      <x:c r="H138" s="17"/>
      <x:c r="I138" s="17" t="str">
        <x:f>IF(G138="","",G138*H138)</x:f>
      </x:c>
      <x:c r="J138" s="17"/>
      <x:c r="K138" s="11"/>
      <x:c r="L138" s="11"/>
      <x:c r="M138" s="11"/>
      <x:c r="N138" s="11"/>
    </x:row>
    <x:row r="139">
      <x:c r="A139" s="15"/>
      <x:c r="B139" s="11" t="str">
        <x:f>IF(A139="","",TEXT(A139,"yyyy-mm"))</x:f>
      </x:c>
      <x:c r="C139" s="11"/>
      <x:c r="D139" s="11"/>
      <x:c r="E139" s="11"/>
      <x:c r="F139" s="11"/>
      <x:c r="G139" s="17"/>
      <x:c r="H139" s="17"/>
      <x:c r="I139" s="17" t="str">
        <x:f>IF(G139="","",G139*H139)</x:f>
      </x:c>
      <x:c r="J139" s="17"/>
      <x:c r="K139" s="11"/>
      <x:c r="L139" s="11"/>
      <x:c r="M139" s="11"/>
      <x:c r="N139" s="11"/>
    </x:row>
    <x:row r="140">
      <x:c r="A140" s="15"/>
      <x:c r="B140" s="11" t="str">
        <x:f>IF(A140="","",TEXT(A140,"yyyy-mm"))</x:f>
      </x:c>
      <x:c r="C140" s="11"/>
      <x:c r="D140" s="11"/>
      <x:c r="E140" s="11"/>
      <x:c r="F140" s="11"/>
      <x:c r="G140" s="17"/>
      <x:c r="H140" s="17"/>
      <x:c r="I140" s="17" t="str">
        <x:f>IF(G140="","",G140*H140)</x:f>
      </x:c>
      <x:c r="J140" s="17"/>
      <x:c r="K140" s="11"/>
      <x:c r="L140" s="11"/>
      <x:c r="M140" s="11"/>
      <x:c r="N140" s="11"/>
    </x:row>
    <x:row r="141">
      <x:c r="A141" s="15"/>
      <x:c r="B141" s="11" t="str">
        <x:f>IF(A141="","",TEXT(A141,"yyyy-mm"))</x:f>
      </x:c>
      <x:c r="C141" s="11"/>
      <x:c r="D141" s="11"/>
      <x:c r="E141" s="11"/>
      <x:c r="F141" s="11"/>
      <x:c r="G141" s="17"/>
      <x:c r="H141" s="17"/>
      <x:c r="I141" s="17" t="str">
        <x:f>IF(G141="","",G141*H141)</x:f>
      </x:c>
      <x:c r="J141" s="17"/>
      <x:c r="K141" s="11"/>
      <x:c r="L141" s="11"/>
      <x:c r="M141" s="11"/>
      <x:c r="N141" s="11"/>
    </x:row>
    <x:row r="142">
      <x:c r="A142" s="15"/>
      <x:c r="B142" s="11" t="str">
        <x:f>IF(A142="","",TEXT(A142,"yyyy-mm"))</x:f>
      </x:c>
      <x:c r="C142" s="11"/>
      <x:c r="D142" s="11"/>
      <x:c r="E142" s="11"/>
      <x:c r="F142" s="11"/>
      <x:c r="G142" s="17"/>
      <x:c r="H142" s="17"/>
      <x:c r="I142" s="17" t="str">
        <x:f>IF(G142="","",G142*H142)</x:f>
      </x:c>
      <x:c r="J142" s="17"/>
      <x:c r="K142" s="11"/>
      <x:c r="L142" s="11"/>
      <x:c r="M142" s="11"/>
      <x:c r="N142" s="11"/>
    </x:row>
    <x:row r="143">
      <x:c r="A143" s="15"/>
      <x:c r="B143" s="11" t="str">
        <x:f>IF(A143="","",TEXT(A143,"yyyy-mm"))</x:f>
      </x:c>
      <x:c r="C143" s="11"/>
      <x:c r="D143" s="11"/>
      <x:c r="E143" s="11"/>
      <x:c r="F143" s="11"/>
      <x:c r="G143" s="17"/>
      <x:c r="H143" s="17"/>
      <x:c r="I143" s="17" t="str">
        <x:f>IF(G143="","",G143*H143)</x:f>
      </x:c>
      <x:c r="J143" s="17"/>
      <x:c r="K143" s="11"/>
      <x:c r="L143" s="11"/>
      <x:c r="M143" s="11"/>
      <x:c r="N143" s="11"/>
    </x:row>
    <x:row r="144">
      <x:c r="A144" s="15"/>
      <x:c r="B144" s="11" t="str">
        <x:f>IF(A144="","",TEXT(A144,"yyyy-mm"))</x:f>
      </x:c>
      <x:c r="C144" s="11"/>
      <x:c r="D144" s="11"/>
      <x:c r="E144" s="11"/>
      <x:c r="F144" s="11"/>
      <x:c r="G144" s="17"/>
      <x:c r="H144" s="17"/>
      <x:c r="I144" s="17" t="str">
        <x:f>IF(G144="","",G144*H144)</x:f>
      </x:c>
      <x:c r="J144" s="17"/>
      <x:c r="K144" s="11"/>
      <x:c r="L144" s="11"/>
      <x:c r="M144" s="11"/>
      <x:c r="N144" s="11"/>
    </x:row>
    <x:row r="145">
      <x:c r="A145" s="15"/>
      <x:c r="B145" s="11" t="str">
        <x:f>IF(A145="","",TEXT(A145,"yyyy-mm"))</x:f>
      </x:c>
      <x:c r="C145" s="11"/>
      <x:c r="D145" s="11"/>
      <x:c r="E145" s="11"/>
      <x:c r="F145" s="11"/>
      <x:c r="G145" s="17"/>
      <x:c r="H145" s="17"/>
      <x:c r="I145" s="17" t="str">
        <x:f>IF(G145="","",G145*H145)</x:f>
      </x:c>
      <x:c r="J145" s="17"/>
      <x:c r="K145" s="11"/>
      <x:c r="L145" s="11"/>
      <x:c r="M145" s="11"/>
      <x:c r="N145" s="11"/>
    </x:row>
    <x:row r="146">
      <x:c r="A146" s="15"/>
      <x:c r="B146" s="11" t="str">
        <x:f>IF(A146="","",TEXT(A146,"yyyy-mm"))</x:f>
      </x:c>
      <x:c r="C146" s="11"/>
      <x:c r="D146" s="11"/>
      <x:c r="E146" s="11"/>
      <x:c r="F146" s="11"/>
      <x:c r="G146" s="17"/>
      <x:c r="H146" s="17"/>
      <x:c r="I146" s="17" t="str">
        <x:f>IF(G146="","",G146*H146)</x:f>
      </x:c>
      <x:c r="J146" s="17"/>
      <x:c r="K146" s="11"/>
      <x:c r="L146" s="11"/>
      <x:c r="M146" s="11"/>
      <x:c r="N146" s="11"/>
    </x:row>
    <x:row r="147">
      <x:c r="A147" s="15"/>
      <x:c r="B147" s="11" t="str">
        <x:f>IF(A147="","",TEXT(A147,"yyyy-mm"))</x:f>
      </x:c>
      <x:c r="C147" s="11"/>
      <x:c r="D147" s="11"/>
      <x:c r="E147" s="11"/>
      <x:c r="F147" s="11"/>
      <x:c r="G147" s="17"/>
      <x:c r="H147" s="17"/>
      <x:c r="I147" s="17" t="str">
        <x:f>IF(G147="","",G147*H147)</x:f>
      </x:c>
      <x:c r="J147" s="17"/>
      <x:c r="K147" s="11"/>
      <x:c r="L147" s="11"/>
      <x:c r="M147" s="11"/>
      <x:c r="N147" s="11"/>
    </x:row>
    <x:row r="148">
      <x:c r="A148" s="15"/>
      <x:c r="B148" s="11" t="str">
        <x:f>IF(A148="","",TEXT(A148,"yyyy-mm"))</x:f>
      </x:c>
      <x:c r="C148" s="11"/>
      <x:c r="D148" s="11"/>
      <x:c r="E148" s="11"/>
      <x:c r="F148" s="11"/>
      <x:c r="G148" s="17"/>
      <x:c r="H148" s="17"/>
      <x:c r="I148" s="17" t="str">
        <x:f>IF(G148="","",G148*H148)</x:f>
      </x:c>
      <x:c r="J148" s="17"/>
      <x:c r="K148" s="11"/>
      <x:c r="L148" s="11"/>
      <x:c r="M148" s="11"/>
      <x:c r="N148" s="11"/>
    </x:row>
    <x:row r="149">
      <x:c r="A149" s="15"/>
      <x:c r="B149" s="11" t="str">
        <x:f>IF(A149="","",TEXT(A149,"yyyy-mm"))</x:f>
      </x:c>
      <x:c r="C149" s="11"/>
      <x:c r="D149" s="11"/>
      <x:c r="E149" s="11"/>
      <x:c r="F149" s="11"/>
      <x:c r="G149" s="17"/>
      <x:c r="H149" s="17"/>
      <x:c r="I149" s="17" t="str">
        <x:f>IF(G149="","",G149*H149)</x:f>
      </x:c>
      <x:c r="J149" s="17"/>
      <x:c r="K149" s="11"/>
      <x:c r="L149" s="11"/>
      <x:c r="M149" s="11"/>
      <x:c r="N149" s="11"/>
    </x:row>
    <x:row r="150">
      <x:c r="A150" s="15"/>
      <x:c r="B150" s="11" t="str">
        <x:f>IF(A150="","",TEXT(A150,"yyyy-mm"))</x:f>
      </x:c>
      <x:c r="C150" s="11"/>
      <x:c r="D150" s="11"/>
      <x:c r="E150" s="11"/>
      <x:c r="F150" s="11"/>
      <x:c r="G150" s="17"/>
      <x:c r="H150" s="17"/>
      <x:c r="I150" s="17" t="str">
        <x:f>IF(G150="","",G150*H150)</x:f>
      </x:c>
      <x:c r="J150" s="17"/>
      <x:c r="K150" s="11"/>
      <x:c r="L150" s="11"/>
      <x:c r="M150" s="11"/>
      <x:c r="N150" s="11"/>
    </x:row>
    <x:row r="151">
      <x:c r="A151" s="15"/>
      <x:c r="B151" s="11" t="str">
        <x:f>IF(A151="","",TEXT(A151,"yyyy-mm"))</x:f>
      </x:c>
      <x:c r="C151" s="11"/>
      <x:c r="D151" s="11"/>
      <x:c r="E151" s="11"/>
      <x:c r="F151" s="11"/>
      <x:c r="G151" s="17"/>
      <x:c r="H151" s="17"/>
      <x:c r="I151" s="17" t="str">
        <x:f>IF(G151="","",G151*H151)</x:f>
      </x:c>
      <x:c r="J151" s="17"/>
      <x:c r="K151" s="11"/>
      <x:c r="L151" s="11"/>
      <x:c r="M151" s="11"/>
      <x:c r="N151" s="11"/>
    </x:row>
    <x:row r="152">
      <x:c r="A152" s="15"/>
      <x:c r="B152" s="11" t="str">
        <x:f>IF(A152="","",TEXT(A152,"yyyy-mm"))</x:f>
      </x:c>
      <x:c r="C152" s="11"/>
      <x:c r="D152" s="11"/>
      <x:c r="E152" s="11"/>
      <x:c r="F152" s="11"/>
      <x:c r="G152" s="17"/>
      <x:c r="H152" s="17"/>
      <x:c r="I152" s="17" t="str">
        <x:f>IF(G152="","",G152*H152)</x:f>
      </x:c>
      <x:c r="J152" s="17"/>
      <x:c r="K152" s="11"/>
      <x:c r="L152" s="11"/>
      <x:c r="M152" s="11"/>
      <x:c r="N152" s="11"/>
    </x:row>
    <x:row r="153">
      <x:c r="A153" s="15"/>
      <x:c r="B153" s="11" t="str">
        <x:f>IF(A153="","",TEXT(A153,"yyyy-mm"))</x:f>
      </x:c>
      <x:c r="C153" s="11"/>
      <x:c r="D153" s="11"/>
      <x:c r="E153" s="11"/>
      <x:c r="F153" s="11"/>
      <x:c r="G153" s="17"/>
      <x:c r="H153" s="17"/>
      <x:c r="I153" s="17" t="str">
        <x:f>IF(G153="","",G153*H153)</x:f>
      </x:c>
      <x:c r="J153" s="17"/>
      <x:c r="K153" s="11"/>
      <x:c r="L153" s="11"/>
      <x:c r="M153" s="11"/>
      <x:c r="N153" s="11"/>
    </x:row>
    <x:row r="154">
      <x:c r="A154" s="15"/>
      <x:c r="B154" s="11" t="str">
        <x:f>IF(A154="","",TEXT(A154,"yyyy-mm"))</x:f>
      </x:c>
      <x:c r="C154" s="11"/>
      <x:c r="D154" s="11"/>
      <x:c r="E154" s="11"/>
      <x:c r="F154" s="11"/>
      <x:c r="G154" s="17"/>
      <x:c r="H154" s="17"/>
      <x:c r="I154" s="17" t="str">
        <x:f>IF(G154="","",G154*H154)</x:f>
      </x:c>
      <x:c r="J154" s="17"/>
      <x:c r="K154" s="11"/>
      <x:c r="L154" s="11"/>
      <x:c r="M154" s="11"/>
      <x:c r="N154" s="11"/>
    </x:row>
    <x:row r="155">
      <x:c r="A155" s="15"/>
      <x:c r="B155" s="11" t="str">
        <x:f>IF(A155="","",TEXT(A155,"yyyy-mm"))</x:f>
      </x:c>
      <x:c r="C155" s="11"/>
      <x:c r="D155" s="11"/>
      <x:c r="E155" s="11"/>
      <x:c r="F155" s="11"/>
      <x:c r="G155" s="17"/>
      <x:c r="H155" s="17"/>
      <x:c r="I155" s="17" t="str">
        <x:f>IF(G155="","",G155*H155)</x:f>
      </x:c>
      <x:c r="J155" s="17"/>
      <x:c r="K155" s="11"/>
      <x:c r="L155" s="11"/>
      <x:c r="M155" s="11"/>
      <x:c r="N155" s="11"/>
    </x:row>
    <x:row r="156">
      <x:c r="A156" s="15"/>
      <x:c r="B156" s="11" t="str">
        <x:f>IF(A156="","",TEXT(A156,"yyyy-mm"))</x:f>
      </x:c>
      <x:c r="C156" s="11"/>
      <x:c r="D156" s="11"/>
      <x:c r="E156" s="11"/>
      <x:c r="F156" s="11"/>
      <x:c r="G156" s="17"/>
      <x:c r="H156" s="17"/>
      <x:c r="I156" s="17" t="str">
        <x:f>IF(G156="","",G156*H156)</x:f>
      </x:c>
      <x:c r="J156" s="17"/>
      <x:c r="K156" s="11"/>
      <x:c r="L156" s="11"/>
      <x:c r="M156" s="11"/>
      <x:c r="N156" s="11"/>
    </x:row>
    <x:row r="157">
      <x:c r="A157" s="15"/>
      <x:c r="B157" s="11" t="str">
        <x:f>IF(A157="","",TEXT(A157,"yyyy-mm"))</x:f>
      </x:c>
      <x:c r="C157" s="11"/>
      <x:c r="D157" s="11"/>
      <x:c r="E157" s="11"/>
      <x:c r="F157" s="11"/>
      <x:c r="G157" s="17"/>
      <x:c r="H157" s="17"/>
      <x:c r="I157" s="17" t="str">
        <x:f>IF(G157="","",G157*H157)</x:f>
      </x:c>
      <x:c r="J157" s="17"/>
      <x:c r="K157" s="11"/>
      <x:c r="L157" s="11"/>
      <x:c r="M157" s="11"/>
      <x:c r="N157" s="11"/>
    </x:row>
    <x:row r="158">
      <x:c r="A158" s="15"/>
      <x:c r="B158" s="11" t="str">
        <x:f>IF(A158="","",TEXT(A158,"yyyy-mm"))</x:f>
      </x:c>
      <x:c r="C158" s="11"/>
      <x:c r="D158" s="11"/>
      <x:c r="E158" s="11"/>
      <x:c r="F158" s="11"/>
      <x:c r="G158" s="17"/>
      <x:c r="H158" s="17"/>
      <x:c r="I158" s="17" t="str">
        <x:f>IF(G158="","",G158*H158)</x:f>
      </x:c>
      <x:c r="J158" s="17"/>
      <x:c r="K158" s="11"/>
      <x:c r="L158" s="11"/>
      <x:c r="M158" s="11"/>
      <x:c r="N158" s="11"/>
    </x:row>
    <x:row r="159">
      <x:c r="A159" s="15"/>
      <x:c r="B159" s="11" t="str">
        <x:f>IF(A159="","",TEXT(A159,"yyyy-mm"))</x:f>
      </x:c>
      <x:c r="C159" s="11"/>
      <x:c r="D159" s="11"/>
      <x:c r="E159" s="11"/>
      <x:c r="F159" s="11"/>
      <x:c r="G159" s="17"/>
      <x:c r="H159" s="17"/>
      <x:c r="I159" s="17" t="str">
        <x:f>IF(G159="","",G159*H159)</x:f>
      </x:c>
      <x:c r="J159" s="17"/>
      <x:c r="K159" s="11"/>
      <x:c r="L159" s="11"/>
      <x:c r="M159" s="11"/>
      <x:c r="N159" s="11"/>
    </x:row>
    <x:row r="160">
      <x:c r="A160" s="15"/>
      <x:c r="B160" s="11" t="str">
        <x:f>IF(A160="","",TEXT(A160,"yyyy-mm"))</x:f>
      </x:c>
      <x:c r="C160" s="11"/>
      <x:c r="D160" s="11"/>
      <x:c r="E160" s="11"/>
      <x:c r="F160" s="11"/>
      <x:c r="G160" s="17"/>
      <x:c r="H160" s="17"/>
      <x:c r="I160" s="17" t="str">
        <x:f>IF(G160="","",G160*H160)</x:f>
      </x:c>
      <x:c r="J160" s="17"/>
      <x:c r="K160" s="11"/>
      <x:c r="L160" s="11"/>
      <x:c r="M160" s="11"/>
      <x:c r="N160" s="11"/>
    </x:row>
    <x:row r="161">
      <x:c r="A161" s="15"/>
      <x:c r="B161" s="11" t="str">
        <x:f>IF(A161="","",TEXT(A161,"yyyy-mm"))</x:f>
      </x:c>
      <x:c r="C161" s="11"/>
      <x:c r="D161" s="11"/>
      <x:c r="E161" s="11"/>
      <x:c r="F161" s="11"/>
      <x:c r="G161" s="17"/>
      <x:c r="H161" s="17"/>
      <x:c r="I161" s="17" t="str">
        <x:f>IF(G161="","",G161*H161)</x:f>
      </x:c>
      <x:c r="J161" s="17"/>
      <x:c r="K161" s="11"/>
      <x:c r="L161" s="11"/>
      <x:c r="M161" s="11"/>
      <x:c r="N161" s="11"/>
    </x:row>
    <x:row r="162">
      <x:c r="A162" s="15"/>
      <x:c r="B162" s="11" t="str">
        <x:f>IF(A162="","",TEXT(A162,"yyyy-mm"))</x:f>
      </x:c>
      <x:c r="C162" s="11"/>
      <x:c r="D162" s="11"/>
      <x:c r="E162" s="11"/>
      <x:c r="F162" s="11"/>
      <x:c r="G162" s="17"/>
      <x:c r="H162" s="17"/>
      <x:c r="I162" s="17" t="str">
        <x:f>IF(G162="","",G162*H162)</x:f>
      </x:c>
      <x:c r="J162" s="17"/>
      <x:c r="K162" s="11"/>
      <x:c r="L162" s="11"/>
      <x:c r="M162" s="11"/>
      <x:c r="N162" s="11"/>
    </x:row>
    <x:row r="163">
      <x:c r="A163" s="15"/>
      <x:c r="B163" s="11" t="str">
        <x:f>IF(A163="","",TEXT(A163,"yyyy-mm"))</x:f>
      </x:c>
      <x:c r="C163" s="11"/>
      <x:c r="D163" s="11"/>
      <x:c r="E163" s="11"/>
      <x:c r="F163" s="11"/>
      <x:c r="G163" s="17"/>
      <x:c r="H163" s="17"/>
      <x:c r="I163" s="17" t="str">
        <x:f>IF(G163="","",G163*H163)</x:f>
      </x:c>
      <x:c r="J163" s="17"/>
      <x:c r="K163" s="11"/>
      <x:c r="L163" s="11"/>
      <x:c r="M163" s="11"/>
      <x:c r="N163" s="11"/>
    </x:row>
    <x:row r="164">
      <x:c r="A164" s="15"/>
      <x:c r="B164" s="11" t="str">
        <x:f>IF(A164="","",TEXT(A164,"yyyy-mm"))</x:f>
      </x:c>
      <x:c r="C164" s="11"/>
      <x:c r="D164" s="11"/>
      <x:c r="E164" s="11"/>
      <x:c r="F164" s="11"/>
      <x:c r="G164" s="17"/>
      <x:c r="H164" s="17"/>
      <x:c r="I164" s="17" t="str">
        <x:f>IF(G164="","",G164*H164)</x:f>
      </x:c>
      <x:c r="J164" s="17"/>
      <x:c r="K164" s="11"/>
      <x:c r="L164" s="11"/>
      <x:c r="M164" s="11"/>
      <x:c r="N164" s="11"/>
    </x:row>
    <x:row r="165">
      <x:c r="A165" s="15"/>
      <x:c r="B165" s="11" t="str">
        <x:f>IF(A165="","",TEXT(A165,"yyyy-mm"))</x:f>
      </x:c>
      <x:c r="C165" s="11"/>
      <x:c r="D165" s="11"/>
      <x:c r="E165" s="11"/>
      <x:c r="F165" s="11"/>
      <x:c r="G165" s="17"/>
      <x:c r="H165" s="17"/>
      <x:c r="I165" s="17" t="str">
        <x:f>IF(G165="","",G165*H165)</x:f>
      </x:c>
      <x:c r="J165" s="17"/>
      <x:c r="K165" s="11"/>
      <x:c r="L165" s="11"/>
      <x:c r="M165" s="11"/>
      <x:c r="N165" s="11"/>
    </x:row>
    <x:row r="166">
      <x:c r="A166" s="15"/>
      <x:c r="B166" s="11" t="str">
        <x:f>IF(A166="","",TEXT(A166,"yyyy-mm"))</x:f>
      </x:c>
      <x:c r="C166" s="11"/>
      <x:c r="D166" s="11"/>
      <x:c r="E166" s="11"/>
      <x:c r="F166" s="11"/>
      <x:c r="G166" s="17"/>
      <x:c r="H166" s="17"/>
      <x:c r="I166" s="17" t="str">
        <x:f>IF(G166="","",G166*H166)</x:f>
      </x:c>
      <x:c r="J166" s="17"/>
      <x:c r="K166" s="11"/>
      <x:c r="L166" s="11"/>
      <x:c r="M166" s="11"/>
      <x:c r="N166" s="11"/>
    </x:row>
    <x:row r="167">
      <x:c r="A167" s="15"/>
      <x:c r="B167" s="11" t="str">
        <x:f>IF(A167="","",TEXT(A167,"yyyy-mm"))</x:f>
      </x:c>
      <x:c r="C167" s="11"/>
      <x:c r="D167" s="11"/>
      <x:c r="E167" s="11"/>
      <x:c r="F167" s="11"/>
      <x:c r="G167" s="17"/>
      <x:c r="H167" s="17"/>
      <x:c r="I167" s="17" t="str">
        <x:f>IF(G167="","",G167*H167)</x:f>
      </x:c>
      <x:c r="J167" s="17"/>
      <x:c r="K167" s="11"/>
      <x:c r="L167" s="11"/>
      <x:c r="M167" s="11"/>
      <x:c r="N167" s="11"/>
    </x:row>
    <x:row r="168">
      <x:c r="A168" s="15"/>
      <x:c r="B168" s="11" t="str">
        <x:f>IF(A168="","",TEXT(A168,"yyyy-mm"))</x:f>
      </x:c>
      <x:c r="C168" s="11"/>
      <x:c r="D168" s="11"/>
      <x:c r="E168" s="11"/>
      <x:c r="F168" s="11"/>
      <x:c r="G168" s="17"/>
      <x:c r="H168" s="17"/>
      <x:c r="I168" s="17" t="str">
        <x:f>IF(G168="","",G168*H168)</x:f>
      </x:c>
      <x:c r="J168" s="17"/>
      <x:c r="K168" s="11"/>
      <x:c r="L168" s="11"/>
      <x:c r="M168" s="11"/>
      <x:c r="N168" s="11"/>
    </x:row>
    <x:row r="169">
      <x:c r="A169" s="15"/>
      <x:c r="B169" s="11" t="str">
        <x:f>IF(A169="","",TEXT(A169,"yyyy-mm"))</x:f>
      </x:c>
      <x:c r="C169" s="11"/>
      <x:c r="D169" s="11"/>
      <x:c r="E169" s="11"/>
      <x:c r="F169" s="11"/>
      <x:c r="G169" s="17"/>
      <x:c r="H169" s="17"/>
      <x:c r="I169" s="17" t="str">
        <x:f>IF(G169="","",G169*H169)</x:f>
      </x:c>
      <x:c r="J169" s="17"/>
      <x:c r="K169" s="11"/>
      <x:c r="L169" s="11"/>
      <x:c r="M169" s="11"/>
      <x:c r="N169" s="11"/>
    </x:row>
    <x:row r="170">
      <x:c r="A170" s="15"/>
      <x:c r="B170" s="11" t="str">
        <x:f>IF(A170="","",TEXT(A170,"yyyy-mm"))</x:f>
      </x:c>
      <x:c r="C170" s="11"/>
      <x:c r="D170" s="11"/>
      <x:c r="E170" s="11"/>
      <x:c r="F170" s="11"/>
      <x:c r="G170" s="17"/>
      <x:c r="H170" s="17"/>
      <x:c r="I170" s="17" t="str">
        <x:f>IF(G170="","",G170*H170)</x:f>
      </x:c>
      <x:c r="J170" s="17"/>
      <x:c r="K170" s="11"/>
      <x:c r="L170" s="11"/>
      <x:c r="M170" s="11"/>
      <x:c r="N170" s="11"/>
    </x:row>
    <x:row r="171">
      <x:c r="A171" s="15"/>
      <x:c r="B171" s="11" t="str">
        <x:f>IF(A171="","",TEXT(A171,"yyyy-mm"))</x:f>
      </x:c>
      <x:c r="C171" s="11"/>
      <x:c r="D171" s="11"/>
      <x:c r="E171" s="11"/>
      <x:c r="F171" s="11"/>
      <x:c r="G171" s="17"/>
      <x:c r="H171" s="17"/>
      <x:c r="I171" s="17" t="str">
        <x:f>IF(G171="","",G171*H171)</x:f>
      </x:c>
      <x:c r="J171" s="17"/>
      <x:c r="K171" s="11"/>
      <x:c r="L171" s="11"/>
      <x:c r="M171" s="11"/>
      <x:c r="N171" s="11"/>
    </x:row>
    <x:row r="172">
      <x:c r="A172" s="15"/>
      <x:c r="B172" s="11" t="str">
        <x:f>IF(A172="","",TEXT(A172,"yyyy-mm"))</x:f>
      </x:c>
      <x:c r="C172" s="11"/>
      <x:c r="D172" s="11"/>
      <x:c r="E172" s="11"/>
      <x:c r="F172" s="11"/>
      <x:c r="G172" s="17"/>
      <x:c r="H172" s="17"/>
      <x:c r="I172" s="17" t="str">
        <x:f>IF(G172="","",G172*H172)</x:f>
      </x:c>
      <x:c r="J172" s="17"/>
      <x:c r="K172" s="11"/>
      <x:c r="L172" s="11"/>
      <x:c r="M172" s="11"/>
      <x:c r="N172" s="11"/>
    </x:row>
    <x:row r="173">
      <x:c r="A173" s="15"/>
      <x:c r="B173" s="11" t="str">
        <x:f>IF(A173="","",TEXT(A173,"yyyy-mm"))</x:f>
      </x:c>
      <x:c r="C173" s="11"/>
      <x:c r="D173" s="11"/>
      <x:c r="E173" s="11"/>
      <x:c r="F173" s="11"/>
      <x:c r="G173" s="17"/>
      <x:c r="H173" s="17"/>
      <x:c r="I173" s="17" t="str">
        <x:f>IF(G173="","",G173*H173)</x:f>
      </x:c>
      <x:c r="J173" s="17"/>
      <x:c r="K173" s="11"/>
      <x:c r="L173" s="11"/>
      <x:c r="M173" s="11"/>
      <x:c r="N173" s="11"/>
    </x:row>
    <x:row r="174">
      <x:c r="A174" s="15"/>
      <x:c r="B174" s="11" t="str">
        <x:f>IF(A174="","",TEXT(A174,"yyyy-mm"))</x:f>
      </x:c>
      <x:c r="C174" s="11"/>
      <x:c r="D174" s="11"/>
      <x:c r="E174" s="11"/>
      <x:c r="F174" s="11"/>
      <x:c r="G174" s="17"/>
      <x:c r="H174" s="17"/>
      <x:c r="I174" s="17" t="str">
        <x:f>IF(G174="","",G174*H174)</x:f>
      </x:c>
      <x:c r="J174" s="17"/>
      <x:c r="K174" s="11"/>
      <x:c r="L174" s="11"/>
      <x:c r="M174" s="11"/>
      <x:c r="N174" s="11"/>
    </x:row>
    <x:row r="175">
      <x:c r="A175" s="15"/>
      <x:c r="B175" s="11" t="str">
        <x:f>IF(A175="","",TEXT(A175,"yyyy-mm"))</x:f>
      </x:c>
      <x:c r="C175" s="11"/>
      <x:c r="D175" s="11"/>
      <x:c r="E175" s="11"/>
      <x:c r="F175" s="11"/>
      <x:c r="G175" s="17"/>
      <x:c r="H175" s="17"/>
      <x:c r="I175" s="17" t="str">
        <x:f>IF(G175="","",G175*H175)</x:f>
      </x:c>
      <x:c r="J175" s="17"/>
      <x:c r="K175" s="11"/>
      <x:c r="L175" s="11"/>
      <x:c r="M175" s="11"/>
      <x:c r="N175" s="11"/>
    </x:row>
    <x:row r="176">
      <x:c r="A176" s="15"/>
      <x:c r="B176" s="11" t="str">
        <x:f>IF(A176="","",TEXT(A176,"yyyy-mm"))</x:f>
      </x:c>
      <x:c r="C176" s="11"/>
      <x:c r="D176" s="11"/>
      <x:c r="E176" s="11"/>
      <x:c r="F176" s="11"/>
      <x:c r="G176" s="17"/>
      <x:c r="H176" s="17"/>
      <x:c r="I176" s="17" t="str">
        <x:f>IF(G176="","",G176*H176)</x:f>
      </x:c>
      <x:c r="J176" s="17"/>
      <x:c r="K176" s="11"/>
      <x:c r="L176" s="11"/>
      <x:c r="M176" s="11"/>
      <x:c r="N176" s="11"/>
    </x:row>
    <x:row r="177">
      <x:c r="A177" s="15"/>
      <x:c r="B177" s="11" t="str">
        <x:f>IF(A177="","",TEXT(A177,"yyyy-mm"))</x:f>
      </x:c>
      <x:c r="C177" s="11"/>
      <x:c r="D177" s="11"/>
      <x:c r="E177" s="11"/>
      <x:c r="F177" s="11"/>
      <x:c r="G177" s="17"/>
      <x:c r="H177" s="17"/>
      <x:c r="I177" s="17" t="str">
        <x:f>IF(G177="","",G177*H177)</x:f>
      </x:c>
      <x:c r="J177" s="17"/>
      <x:c r="K177" s="11"/>
      <x:c r="L177" s="11"/>
      <x:c r="M177" s="11"/>
      <x:c r="N177" s="11"/>
    </x:row>
    <x:row r="178">
      <x:c r="A178" s="15"/>
      <x:c r="B178" s="11" t="str">
        <x:f>IF(A178="","",TEXT(A178,"yyyy-mm"))</x:f>
      </x:c>
      <x:c r="C178" s="11"/>
      <x:c r="D178" s="11"/>
      <x:c r="E178" s="11"/>
      <x:c r="F178" s="11"/>
      <x:c r="G178" s="17"/>
      <x:c r="H178" s="17"/>
      <x:c r="I178" s="17" t="str">
        <x:f>IF(G178="","",G178*H178)</x:f>
      </x:c>
      <x:c r="J178" s="17"/>
      <x:c r="K178" s="11"/>
      <x:c r="L178" s="11"/>
      <x:c r="M178" s="11"/>
      <x:c r="N178" s="11"/>
    </x:row>
    <x:row r="179">
      <x:c r="A179" s="15"/>
      <x:c r="B179" s="11" t="str">
        <x:f>IF(A179="","",TEXT(A179,"yyyy-mm"))</x:f>
      </x:c>
      <x:c r="C179" s="11"/>
      <x:c r="D179" s="11"/>
      <x:c r="E179" s="11"/>
      <x:c r="F179" s="11"/>
      <x:c r="G179" s="17"/>
      <x:c r="H179" s="17"/>
      <x:c r="I179" s="17" t="str">
        <x:f>IF(G179="","",G179*H179)</x:f>
      </x:c>
      <x:c r="J179" s="17"/>
      <x:c r="K179" s="11"/>
      <x:c r="L179" s="11"/>
      <x:c r="M179" s="11"/>
      <x:c r="N179" s="11"/>
    </x:row>
    <x:row r="180">
      <x:c r="A180" s="15"/>
      <x:c r="B180" s="11" t="str">
        <x:f>IF(A180="","",TEXT(A180,"yyyy-mm"))</x:f>
      </x:c>
      <x:c r="C180" s="11"/>
      <x:c r="D180" s="11"/>
      <x:c r="E180" s="11"/>
      <x:c r="F180" s="11"/>
      <x:c r="G180" s="17"/>
      <x:c r="H180" s="17"/>
      <x:c r="I180" s="17" t="str">
        <x:f>IF(G180="","",G180*H180)</x:f>
      </x:c>
      <x:c r="J180" s="17"/>
      <x:c r="K180" s="11"/>
      <x:c r="L180" s="11"/>
      <x:c r="M180" s="11"/>
      <x:c r="N180" s="11"/>
    </x:row>
    <x:row r="181">
      <x:c r="A181" s="15"/>
      <x:c r="B181" s="11" t="str">
        <x:f>IF(A181="","",TEXT(A181,"yyyy-mm"))</x:f>
      </x:c>
      <x:c r="C181" s="11"/>
      <x:c r="D181" s="11"/>
      <x:c r="E181" s="11"/>
      <x:c r="F181" s="11"/>
      <x:c r="G181" s="17"/>
      <x:c r="H181" s="17"/>
      <x:c r="I181" s="17" t="str">
        <x:f>IF(G181="","",G181*H181)</x:f>
      </x:c>
      <x:c r="J181" s="17"/>
      <x:c r="K181" s="11"/>
      <x:c r="L181" s="11"/>
      <x:c r="M181" s="11"/>
      <x:c r="N181" s="11"/>
    </x:row>
    <x:row r="182">
      <x:c r="A182" s="15"/>
      <x:c r="B182" s="11" t="str">
        <x:f>IF(A182="","",TEXT(A182,"yyyy-mm"))</x:f>
      </x:c>
      <x:c r="C182" s="11"/>
      <x:c r="D182" s="11"/>
      <x:c r="E182" s="11"/>
      <x:c r="F182" s="11"/>
      <x:c r="G182" s="17"/>
      <x:c r="H182" s="17"/>
      <x:c r="I182" s="17" t="str">
        <x:f>IF(G182="","",G182*H182)</x:f>
      </x:c>
      <x:c r="J182" s="17"/>
      <x:c r="K182" s="11"/>
      <x:c r="L182" s="11"/>
      <x:c r="M182" s="11"/>
      <x:c r="N182" s="11"/>
    </x:row>
    <x:row r="183">
      <x:c r="A183" s="15"/>
      <x:c r="B183" s="11" t="str">
        <x:f>IF(A183="","",TEXT(A183,"yyyy-mm"))</x:f>
      </x:c>
      <x:c r="C183" s="11"/>
      <x:c r="D183" s="11"/>
      <x:c r="E183" s="11"/>
      <x:c r="F183" s="11"/>
      <x:c r="G183" s="17"/>
      <x:c r="H183" s="17"/>
      <x:c r="I183" s="17" t="str">
        <x:f>IF(G183="","",G183*H183)</x:f>
      </x:c>
      <x:c r="J183" s="17"/>
      <x:c r="K183" s="11"/>
      <x:c r="L183" s="11"/>
      <x:c r="M183" s="11"/>
      <x:c r="N183" s="11"/>
    </x:row>
    <x:row r="184">
      <x:c r="A184" s="15"/>
      <x:c r="B184" s="11" t="str">
        <x:f>IF(A184="","",TEXT(A184,"yyyy-mm"))</x:f>
      </x:c>
      <x:c r="C184" s="11"/>
      <x:c r="D184" s="11"/>
      <x:c r="E184" s="11"/>
      <x:c r="F184" s="11"/>
      <x:c r="G184" s="17"/>
      <x:c r="H184" s="17"/>
      <x:c r="I184" s="17" t="str">
        <x:f>IF(G184="","",G184*H184)</x:f>
      </x:c>
      <x:c r="J184" s="17"/>
      <x:c r="K184" s="11"/>
      <x:c r="L184" s="11"/>
      <x:c r="M184" s="11"/>
      <x:c r="N184" s="11"/>
    </x:row>
    <x:row r="185">
      <x:c r="A185" s="15"/>
      <x:c r="B185" s="11" t="str">
        <x:f>IF(A185="","",TEXT(A185,"yyyy-mm"))</x:f>
      </x:c>
      <x:c r="C185" s="11"/>
      <x:c r="D185" s="11"/>
      <x:c r="E185" s="11"/>
      <x:c r="F185" s="11"/>
      <x:c r="G185" s="17"/>
      <x:c r="H185" s="17"/>
      <x:c r="I185" s="17" t="str">
        <x:f>IF(G185="","",G185*H185)</x:f>
      </x:c>
      <x:c r="J185" s="17"/>
      <x:c r="K185" s="11"/>
      <x:c r="L185" s="11"/>
      <x:c r="M185" s="11"/>
      <x:c r="N185" s="11"/>
    </x:row>
    <x:row r="186">
      <x:c r="A186" s="15"/>
      <x:c r="B186" s="11" t="str">
        <x:f>IF(A186="","",TEXT(A186,"yyyy-mm"))</x:f>
      </x:c>
      <x:c r="C186" s="11"/>
      <x:c r="D186" s="11"/>
      <x:c r="E186" s="11"/>
      <x:c r="F186" s="11"/>
      <x:c r="G186" s="17"/>
      <x:c r="H186" s="17"/>
      <x:c r="I186" s="17" t="str">
        <x:f>IF(G186="","",G186*H186)</x:f>
      </x:c>
      <x:c r="J186" s="17"/>
      <x:c r="K186" s="11"/>
      <x:c r="L186" s="11"/>
      <x:c r="M186" s="11"/>
      <x:c r="N186" s="11"/>
    </x:row>
    <x:row r="187">
      <x:c r="A187" s="15"/>
      <x:c r="B187" s="11" t="str">
        <x:f>IF(A187="","",TEXT(A187,"yyyy-mm"))</x:f>
      </x:c>
      <x:c r="C187" s="11"/>
      <x:c r="D187" s="11"/>
      <x:c r="E187" s="11"/>
      <x:c r="F187" s="11"/>
      <x:c r="G187" s="17"/>
      <x:c r="H187" s="17"/>
      <x:c r="I187" s="17" t="str">
        <x:f>IF(G187="","",G187*H187)</x:f>
      </x:c>
      <x:c r="J187" s="17"/>
      <x:c r="K187" s="11"/>
      <x:c r="L187" s="11"/>
      <x:c r="M187" s="11"/>
      <x:c r="N187" s="11"/>
    </x:row>
    <x:row r="188">
      <x:c r="A188" s="15"/>
      <x:c r="B188" s="11" t="str">
        <x:f>IF(A188="","",TEXT(A188,"yyyy-mm"))</x:f>
      </x:c>
      <x:c r="C188" s="11"/>
      <x:c r="D188" s="11"/>
      <x:c r="E188" s="11"/>
      <x:c r="F188" s="11"/>
      <x:c r="G188" s="17"/>
      <x:c r="H188" s="17"/>
      <x:c r="I188" s="17" t="str">
        <x:f>IF(G188="","",G188*H188)</x:f>
      </x:c>
      <x:c r="J188" s="17"/>
      <x:c r="K188" s="11"/>
      <x:c r="L188" s="11"/>
      <x:c r="M188" s="11"/>
      <x:c r="N188" s="11"/>
    </x:row>
    <x:row r="189">
      <x:c r="A189" s="15"/>
      <x:c r="B189" s="11" t="str">
        <x:f>IF(A189="","",TEXT(A189,"yyyy-mm"))</x:f>
      </x:c>
      <x:c r="C189" s="11"/>
      <x:c r="D189" s="11"/>
      <x:c r="E189" s="11"/>
      <x:c r="F189" s="11"/>
      <x:c r="G189" s="17"/>
      <x:c r="H189" s="17"/>
      <x:c r="I189" s="17" t="str">
        <x:f>IF(G189="","",G189*H189)</x:f>
      </x:c>
      <x:c r="J189" s="17"/>
      <x:c r="K189" s="11"/>
      <x:c r="L189" s="11"/>
      <x:c r="M189" s="11"/>
      <x:c r="N189" s="11"/>
    </x:row>
    <x:row r="190">
      <x:c r="A190" s="15"/>
      <x:c r="B190" s="11" t="str">
        <x:f>IF(A190="","",TEXT(A190,"yyyy-mm"))</x:f>
      </x:c>
      <x:c r="C190" s="11"/>
      <x:c r="D190" s="11"/>
      <x:c r="E190" s="11"/>
      <x:c r="F190" s="11"/>
      <x:c r="G190" s="17"/>
      <x:c r="H190" s="17"/>
      <x:c r="I190" s="17" t="str">
        <x:f>IF(G190="","",G190*H190)</x:f>
      </x:c>
      <x:c r="J190" s="17"/>
      <x:c r="K190" s="11"/>
      <x:c r="L190" s="11"/>
      <x:c r="M190" s="11"/>
      <x:c r="N190" s="11"/>
    </x:row>
    <x:row r="191">
      <x:c r="A191" s="15"/>
      <x:c r="B191" s="11" t="str">
        <x:f>IF(A191="","",TEXT(A191,"yyyy-mm"))</x:f>
      </x:c>
      <x:c r="C191" s="11"/>
      <x:c r="D191" s="11"/>
      <x:c r="E191" s="11"/>
      <x:c r="F191" s="11"/>
      <x:c r="G191" s="17"/>
      <x:c r="H191" s="17"/>
      <x:c r="I191" s="17" t="str">
        <x:f>IF(G191="","",G191*H191)</x:f>
      </x:c>
      <x:c r="J191" s="17"/>
      <x:c r="K191" s="11"/>
      <x:c r="L191" s="11"/>
      <x:c r="M191" s="11"/>
      <x:c r="N191" s="11"/>
    </x:row>
    <x:row r="192">
      <x:c r="A192" s="15"/>
      <x:c r="B192" s="11" t="str">
        <x:f>IF(A192="","",TEXT(A192,"yyyy-mm"))</x:f>
      </x:c>
      <x:c r="C192" s="11"/>
      <x:c r="D192" s="11"/>
      <x:c r="E192" s="11"/>
      <x:c r="F192" s="11"/>
      <x:c r="G192" s="17"/>
      <x:c r="H192" s="17"/>
      <x:c r="I192" s="17" t="str">
        <x:f>IF(G192="","",G192*H192)</x:f>
      </x:c>
      <x:c r="J192" s="17"/>
      <x:c r="K192" s="11"/>
      <x:c r="L192" s="11"/>
      <x:c r="M192" s="11"/>
      <x:c r="N192" s="11"/>
    </x:row>
    <x:row r="193">
      <x:c r="A193" s="15"/>
      <x:c r="B193" s="11" t="str">
        <x:f>IF(A193="","",TEXT(A193,"yyyy-mm"))</x:f>
      </x:c>
      <x:c r="C193" s="11"/>
      <x:c r="D193" s="11"/>
      <x:c r="E193" s="11"/>
      <x:c r="F193" s="11"/>
      <x:c r="G193" s="17"/>
      <x:c r="H193" s="17"/>
      <x:c r="I193" s="17" t="str">
        <x:f>IF(G193="","",G193*H193)</x:f>
      </x:c>
      <x:c r="J193" s="17"/>
      <x:c r="K193" s="11"/>
      <x:c r="L193" s="11"/>
      <x:c r="M193" s="11"/>
      <x:c r="N193" s="11"/>
    </x:row>
    <x:row r="194">
      <x:c r="A194" s="15"/>
      <x:c r="B194" s="11" t="str">
        <x:f>IF(A194="","",TEXT(A194,"yyyy-mm"))</x:f>
      </x:c>
      <x:c r="C194" s="11"/>
      <x:c r="D194" s="11"/>
      <x:c r="E194" s="11"/>
      <x:c r="F194" s="11"/>
      <x:c r="G194" s="17"/>
      <x:c r="H194" s="17"/>
      <x:c r="I194" s="17" t="str">
        <x:f>IF(G194="","",G194*H194)</x:f>
      </x:c>
      <x:c r="J194" s="17"/>
      <x:c r="K194" s="11"/>
      <x:c r="L194" s="11"/>
      <x:c r="M194" s="11"/>
      <x:c r="N194" s="11"/>
    </x:row>
    <x:row r="195">
      <x:c r="A195" s="15"/>
      <x:c r="B195" s="11" t="str">
        <x:f>IF(A195="","",TEXT(A195,"yyyy-mm"))</x:f>
      </x:c>
      <x:c r="C195" s="11"/>
      <x:c r="D195" s="11"/>
      <x:c r="E195" s="11"/>
      <x:c r="F195" s="11"/>
      <x:c r="G195" s="17"/>
      <x:c r="H195" s="17"/>
      <x:c r="I195" s="17" t="str">
        <x:f>IF(G195="","",G195*H195)</x:f>
      </x:c>
      <x:c r="J195" s="17"/>
      <x:c r="K195" s="11"/>
      <x:c r="L195" s="11"/>
      <x:c r="M195" s="11"/>
      <x:c r="N195" s="11"/>
    </x:row>
    <x:row r="196">
      <x:c r="A196" s="15"/>
      <x:c r="B196" s="11" t="str">
        <x:f>IF(A196="","",TEXT(A196,"yyyy-mm"))</x:f>
      </x:c>
      <x:c r="C196" s="11"/>
      <x:c r="D196" s="11"/>
      <x:c r="E196" s="11"/>
      <x:c r="F196" s="11"/>
      <x:c r="G196" s="17"/>
      <x:c r="H196" s="17"/>
      <x:c r="I196" s="17" t="str">
        <x:f>IF(G196="","",G196*H196)</x:f>
      </x:c>
      <x:c r="J196" s="17"/>
      <x:c r="K196" s="11"/>
      <x:c r="L196" s="11"/>
      <x:c r="M196" s="11"/>
      <x:c r="N196" s="11"/>
    </x:row>
    <x:row r="197">
      <x:c r="A197" s="15"/>
      <x:c r="B197" s="11" t="str">
        <x:f>IF(A197="","",TEXT(A197,"yyyy-mm"))</x:f>
      </x:c>
      <x:c r="C197" s="11"/>
      <x:c r="D197" s="11"/>
      <x:c r="E197" s="11"/>
      <x:c r="F197" s="11"/>
      <x:c r="G197" s="17"/>
      <x:c r="H197" s="17"/>
      <x:c r="I197" s="17" t="str">
        <x:f>IF(G197="","",G197*H197)</x:f>
      </x:c>
      <x:c r="J197" s="17"/>
      <x:c r="K197" s="11"/>
      <x:c r="L197" s="11"/>
      <x:c r="M197" s="11"/>
      <x:c r="N197" s="11"/>
    </x:row>
    <x:row r="198">
      <x:c r="A198" s="15"/>
      <x:c r="B198" s="11" t="str">
        <x:f>IF(A198="","",TEXT(A198,"yyyy-mm"))</x:f>
      </x:c>
      <x:c r="C198" s="11"/>
      <x:c r="D198" s="11"/>
      <x:c r="E198" s="11"/>
      <x:c r="F198" s="11"/>
      <x:c r="G198" s="17"/>
      <x:c r="H198" s="17"/>
      <x:c r="I198" s="17" t="str">
        <x:f>IF(G198="","",G198*H198)</x:f>
      </x:c>
      <x:c r="J198" s="17"/>
      <x:c r="K198" s="11"/>
      <x:c r="L198" s="11"/>
      <x:c r="M198" s="11"/>
      <x:c r="N198" s="11"/>
    </x:row>
    <x:row r="199">
      <x:c r="A199" s="15"/>
      <x:c r="B199" s="11" t="str">
        <x:f>IF(A199="","",TEXT(A199,"yyyy-mm"))</x:f>
      </x:c>
      <x:c r="C199" s="11"/>
      <x:c r="D199" s="11"/>
      <x:c r="E199" s="11"/>
      <x:c r="F199" s="11"/>
      <x:c r="G199" s="17"/>
      <x:c r="H199" s="17"/>
      <x:c r="I199" s="17" t="str">
        <x:f>IF(G199="","",G199*H199)</x:f>
      </x:c>
      <x:c r="J199" s="17"/>
      <x:c r="K199" s="11"/>
      <x:c r="L199" s="11"/>
      <x:c r="M199" s="11"/>
      <x:c r="N199" s="11"/>
    </x:row>
    <x:row r="200">
      <x:c r="A200" s="15"/>
      <x:c r="B200" s="11" t="str">
        <x:f>IF(A200="","",TEXT(A200,"yyyy-mm"))</x:f>
      </x:c>
      <x:c r="C200" s="11"/>
      <x:c r="D200" s="11"/>
      <x:c r="E200" s="11"/>
      <x:c r="F200" s="11"/>
      <x:c r="G200" s="17"/>
      <x:c r="H200" s="17"/>
      <x:c r="I200" s="17" t="str">
        <x:f>IF(G200="","",G200*H200)</x:f>
      </x:c>
      <x:c r="J200" s="17"/>
      <x:c r="K200" s="11"/>
      <x:c r="L200" s="11"/>
      <x:c r="M200" s="11"/>
      <x:c r="N200" s="11"/>
    </x:row>
  </x:sheetData>
  <x:dataValidations count="1">
    <x:dataValidation type="list" sqref="D2:D200">
      <x:formula1>"플랫폼 수수료,출장,외부시험,시료·재료,장비·소프트웨어,교육·출판,사무·통신,세무·법무,기타"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>
      <x:c r="A1" s="10" t="str">
        <x:v>월</x:v>
      </x:c>
      <x:c r="B1" s="10" t="str">
        <x:v>원화매출</x:v>
      </x:c>
      <x:c r="C1" s="10" t="str">
        <x:v>VAT</x:v>
      </x:c>
      <x:c r="D1" s="10" t="str">
        <x:v>플랫폼·PG수수료</x:v>
      </x:c>
      <x:c r="E1" s="10" t="str">
        <x:v>원화비용</x:v>
      </x:c>
      <x:c r="F1" s="10" t="str">
        <x:v>공제가능 VAT</x:v>
      </x:c>
      <x:c r="G1" s="10" t="str">
        <x:v>세전 현금흐름</x:v>
      </x:c>
      <x:c r="H1" s="10" t="str">
        <x:v>증빙 점검</x:v>
      </x:c>
    </x:row>
    <x:row r="2">
      <x:c r="A2" s="11" t="str">
        <x:v>2026-01</x:v>
      </x:c>
      <x:c r="B2" s="17" t="n">
        <x:f>SUMIF('Sales Ledger'!$B$2:$B$200,A2,'Sales Ledger'!$J$2:$J$200)</x:f>
        <x:v>0</x:v>
      </x:c>
      <x:c r="C2" s="17" t="n">
        <x:f>SUMIF('Sales Ledger'!$B$2:$B$200,A2,'Sales Ledger'!$L$2:$L$200)</x:f>
        <x:v>0</x:v>
      </x:c>
      <x:c r="D2" s="17" t="n">
        <x:f>SUMIF('Sales Ledger'!$B$2:$B$200,A2,'Sales Ledger'!$S$2:$S$200)</x:f>
        <x:v>0</x:v>
      </x:c>
      <x:c r="E2" s="17" t="n">
        <x:f>SUMIF('Expense Ledger'!$B$2:$B$200,A2,'Expense Ledger'!$I$2:$I$200)</x:f>
        <x:v>0</x:v>
      </x:c>
      <x:c r="F2" s="17" t="n">
        <x:f>SUMIF('Expense Ledger'!$B$2:$B$200,A2,'Expense Ledger'!$J$2:$J$200)</x:f>
        <x:v>0</x:v>
      </x:c>
      <x:c r="G2" s="17" t="n">
        <x:f>B2-D2-E2</x:f>
        <x:v>0</x:v>
      </x:c>
      <x:c r="H2" s="11" t="str">
        <x:f>IF(AND(B2=0,E2=0),"",IF(COUNTIF('Sales Ledger'!$B$2:$B$200,A2)=COUNTIFS('Sales Ledger'!$B$2:$B$200,A2,'Sales Ledger'!$Q$2:$Q$200,"PAID"),"매출 증빙 확인","미수/증빙 확인"))</x:f>
      </x:c>
    </x:row>
    <x:row r="3">
      <x:c r="A3" s="11" t="str">
        <x:v>2026-02</x:v>
      </x:c>
      <x:c r="B3" s="17" t="n">
        <x:f>SUMIF('Sales Ledger'!$B$2:$B$200,A3,'Sales Ledger'!$J$2:$J$200)</x:f>
        <x:v>0</x:v>
      </x:c>
      <x:c r="C3" s="17" t="n">
        <x:f>SUMIF('Sales Ledger'!$B$2:$B$200,A3,'Sales Ledger'!$L$2:$L$200)</x:f>
        <x:v>0</x:v>
      </x:c>
      <x:c r="D3" s="17" t="n">
        <x:f>SUMIF('Sales Ledger'!$B$2:$B$200,A3,'Sales Ledger'!$S$2:$S$200)</x:f>
        <x:v>0</x:v>
      </x:c>
      <x:c r="E3" s="17" t="n">
        <x:f>SUMIF('Expense Ledger'!$B$2:$B$200,A3,'Expense Ledger'!$I$2:$I$200)</x:f>
        <x:v>0</x:v>
      </x:c>
      <x:c r="F3" s="17" t="n">
        <x:f>SUMIF('Expense Ledger'!$B$2:$B$200,A3,'Expense Ledger'!$J$2:$J$200)</x:f>
        <x:v>0</x:v>
      </x:c>
      <x:c r="G3" s="17" t="n">
        <x:f>B3-D3-E3</x:f>
        <x:v>0</x:v>
      </x:c>
      <x:c r="H3" s="11" t="str">
        <x:f>IF(AND(B3=0,E3=0),"",IF(COUNTIF('Sales Ledger'!$B$2:$B$200,A3)=COUNTIFS('Sales Ledger'!$B$2:$B$200,A3,'Sales Ledger'!$Q$2:$Q$200,"PAID"),"매출 증빙 확인","미수/증빙 확인"))</x:f>
      </x:c>
    </x:row>
    <x:row r="4">
      <x:c r="A4" s="11" t="str">
        <x:v>2026-03</x:v>
      </x:c>
      <x:c r="B4" s="17" t="n">
        <x:f>SUMIF('Sales Ledger'!$B$2:$B$200,A4,'Sales Ledger'!$J$2:$J$200)</x:f>
        <x:v>0</x:v>
      </x:c>
      <x:c r="C4" s="17" t="n">
        <x:f>SUMIF('Sales Ledger'!$B$2:$B$200,A4,'Sales Ledger'!$L$2:$L$200)</x:f>
        <x:v>0</x:v>
      </x:c>
      <x:c r="D4" s="17" t="n">
        <x:f>SUMIF('Sales Ledger'!$B$2:$B$200,A4,'Sales Ledger'!$S$2:$S$200)</x:f>
        <x:v>0</x:v>
      </x:c>
      <x:c r="E4" s="17" t="n">
        <x:f>SUMIF('Expense Ledger'!$B$2:$B$200,A4,'Expense Ledger'!$I$2:$I$200)</x:f>
        <x:v>0</x:v>
      </x:c>
      <x:c r="F4" s="17" t="n">
        <x:f>SUMIF('Expense Ledger'!$B$2:$B$200,A4,'Expense Ledger'!$J$2:$J$200)</x:f>
        <x:v>0</x:v>
      </x:c>
      <x:c r="G4" s="17" t="n">
        <x:f>B4-D4-E4</x:f>
        <x:v>0</x:v>
      </x:c>
      <x:c r="H4" s="11" t="str">
        <x:f>IF(AND(B4=0,E4=0),"",IF(COUNTIF('Sales Ledger'!$B$2:$B$200,A4)=COUNTIFS('Sales Ledger'!$B$2:$B$200,A4,'Sales Ledger'!$Q$2:$Q$200,"PAID"),"매출 증빙 확인","미수/증빙 확인"))</x:f>
      </x:c>
    </x:row>
    <x:row r="5">
      <x:c r="A5" s="11" t="str">
        <x:v>2026-04</x:v>
      </x:c>
      <x:c r="B5" s="17" t="n">
        <x:f>SUMIF('Sales Ledger'!$B$2:$B$200,A5,'Sales Ledger'!$J$2:$J$200)</x:f>
        <x:v>0</x:v>
      </x:c>
      <x:c r="C5" s="17" t="n">
        <x:f>SUMIF('Sales Ledger'!$B$2:$B$200,A5,'Sales Ledger'!$L$2:$L$200)</x:f>
        <x:v>0</x:v>
      </x:c>
      <x:c r="D5" s="17" t="n">
        <x:f>SUMIF('Sales Ledger'!$B$2:$B$200,A5,'Sales Ledger'!$S$2:$S$200)</x:f>
        <x:v>0</x:v>
      </x:c>
      <x:c r="E5" s="17" t="n">
        <x:f>SUMIF('Expense Ledger'!$B$2:$B$200,A5,'Expense Ledger'!$I$2:$I$200)</x:f>
        <x:v>0</x:v>
      </x:c>
      <x:c r="F5" s="17" t="n">
        <x:f>SUMIF('Expense Ledger'!$B$2:$B$200,A5,'Expense Ledger'!$J$2:$J$200)</x:f>
        <x:v>0</x:v>
      </x:c>
      <x:c r="G5" s="17" t="n">
        <x:f>B5-D5-E5</x:f>
        <x:v>0</x:v>
      </x:c>
      <x:c r="H5" s="11" t="str">
        <x:f>IF(AND(B5=0,E5=0),"",IF(COUNTIF('Sales Ledger'!$B$2:$B$200,A5)=COUNTIFS('Sales Ledger'!$B$2:$B$200,A5,'Sales Ledger'!$Q$2:$Q$200,"PAID"),"매출 증빙 확인","미수/증빙 확인"))</x:f>
      </x:c>
    </x:row>
    <x:row r="6">
      <x:c r="A6" s="11" t="str">
        <x:v>2026-05</x:v>
      </x:c>
      <x:c r="B6" s="17" t="n">
        <x:f>SUMIF('Sales Ledger'!$B$2:$B$200,A6,'Sales Ledger'!$J$2:$J$200)</x:f>
        <x:v>0</x:v>
      </x:c>
      <x:c r="C6" s="17" t="n">
        <x:f>SUMIF('Sales Ledger'!$B$2:$B$200,A6,'Sales Ledger'!$L$2:$L$200)</x:f>
        <x:v>0</x:v>
      </x:c>
      <x:c r="D6" s="17" t="n">
        <x:f>SUMIF('Sales Ledger'!$B$2:$B$200,A6,'Sales Ledger'!$S$2:$S$200)</x:f>
        <x:v>0</x:v>
      </x:c>
      <x:c r="E6" s="17" t="n">
        <x:f>SUMIF('Expense Ledger'!$B$2:$B$200,A6,'Expense Ledger'!$I$2:$I$200)</x:f>
        <x:v>0</x:v>
      </x:c>
      <x:c r="F6" s="17" t="n">
        <x:f>SUMIF('Expense Ledger'!$B$2:$B$200,A6,'Expense Ledger'!$J$2:$J$200)</x:f>
        <x:v>0</x:v>
      </x:c>
      <x:c r="G6" s="17" t="n">
        <x:f>B6-D6-E6</x:f>
        <x:v>0</x:v>
      </x:c>
      <x:c r="H6" s="11" t="str">
        <x:f>IF(AND(B6=0,E6=0),"",IF(COUNTIF('Sales Ledger'!$B$2:$B$200,A6)=COUNTIFS('Sales Ledger'!$B$2:$B$200,A6,'Sales Ledger'!$Q$2:$Q$200,"PAID"),"매출 증빙 확인","미수/증빙 확인"))</x:f>
      </x:c>
    </x:row>
    <x:row r="7">
      <x:c r="A7" s="11" t="str">
        <x:v>2026-06</x:v>
      </x:c>
      <x:c r="B7" s="17" t="n">
        <x:f>SUMIF('Sales Ledger'!$B$2:$B$200,A7,'Sales Ledger'!$J$2:$J$200)</x:f>
        <x:v>0</x:v>
      </x:c>
      <x:c r="C7" s="17" t="n">
        <x:f>SUMIF('Sales Ledger'!$B$2:$B$200,A7,'Sales Ledger'!$L$2:$L$200)</x:f>
        <x:v>0</x:v>
      </x:c>
      <x:c r="D7" s="17" t="n">
        <x:f>SUMIF('Sales Ledger'!$B$2:$B$200,A7,'Sales Ledger'!$S$2:$S$200)</x:f>
        <x:v>0</x:v>
      </x:c>
      <x:c r="E7" s="17" t="n">
        <x:f>SUMIF('Expense Ledger'!$B$2:$B$200,A7,'Expense Ledger'!$I$2:$I$200)</x:f>
        <x:v>0</x:v>
      </x:c>
      <x:c r="F7" s="17" t="n">
        <x:f>SUMIF('Expense Ledger'!$B$2:$B$200,A7,'Expense Ledger'!$J$2:$J$200)</x:f>
        <x:v>0</x:v>
      </x:c>
      <x:c r="G7" s="17" t="n">
        <x:f>B7-D7-E7</x:f>
        <x:v>0</x:v>
      </x:c>
      <x:c r="H7" s="11" t="str">
        <x:f>IF(AND(B7=0,E7=0),"",IF(COUNTIF('Sales Ledger'!$B$2:$B$200,A7)=COUNTIFS('Sales Ledger'!$B$2:$B$200,A7,'Sales Ledger'!$Q$2:$Q$200,"PAID"),"매출 증빙 확인","미수/증빙 확인"))</x:f>
      </x:c>
    </x:row>
    <x:row r="8">
      <x:c r="A8" s="11" t="str">
        <x:v>2026-07</x:v>
      </x:c>
      <x:c r="B8" s="17" t="n">
        <x:f>SUMIF('Sales Ledger'!$B$2:$B$200,A8,'Sales Ledger'!$J$2:$J$200)</x:f>
        <x:v>3879000</x:v>
      </x:c>
      <x:c r="C8" s="17" t="n">
        <x:f>SUMIF('Sales Ledger'!$B$2:$B$200,A8,'Sales Ledger'!$L$2:$L$200)</x:f>
        <x:v>387900</x:v>
      </x:c>
      <x:c r="D8" s="17" t="n">
        <x:f>SUMIF('Sales Ledger'!$B$2:$B$200,A8,'Sales Ledger'!$S$2:$S$200)</x:f>
        <x:v>0</x:v>
      </x:c>
      <x:c r="E8" s="17" t="n">
        <x:f>SUMIF('Expense Ledger'!$B$2:$B$200,A8,'Expense Ledger'!$I$2:$I$200)</x:f>
        <x:v>0</x:v>
      </x:c>
      <x:c r="F8" s="17" t="n">
        <x:f>SUMIF('Expense Ledger'!$B$2:$B$200,A8,'Expense Ledger'!$J$2:$J$200)</x:f>
        <x:v>0</x:v>
      </x:c>
      <x:c r="G8" s="17" t="n">
        <x:f>B8-D8-E8</x:f>
        <x:v>3879000</x:v>
      </x:c>
      <x:c r="H8" s="11" t="str">
        <x:f>IF(AND(B8=0,E8=0),"",IF(COUNTIF('Sales Ledger'!$B$2:$B$200,A8)=COUNTIFS('Sales Ledger'!$B$2:$B$200,A8,'Sales Ledger'!$Q$2:$Q$200,"PAID"),"매출 증빙 확인","미수/증빙 확인"))</x:f>
        <x:v>미수/증빙 확인</x:v>
      </x:c>
    </x:row>
    <x:row r="9">
      <x:c r="A9" s="11" t="str">
        <x:v>2026-08</x:v>
      </x:c>
      <x:c r="B9" s="17" t="n">
        <x:f>SUMIF('Sales Ledger'!$B$2:$B$200,A9,'Sales Ledger'!$J$2:$J$200)</x:f>
        <x:v>0</x:v>
      </x:c>
      <x:c r="C9" s="17" t="n">
        <x:f>SUMIF('Sales Ledger'!$B$2:$B$200,A9,'Sales Ledger'!$L$2:$L$200)</x:f>
        <x:v>0</x:v>
      </x:c>
      <x:c r="D9" s="17" t="n">
        <x:f>SUMIF('Sales Ledger'!$B$2:$B$200,A9,'Sales Ledger'!$S$2:$S$200)</x:f>
        <x:v>0</x:v>
      </x:c>
      <x:c r="E9" s="17" t="n">
        <x:f>SUMIF('Expense Ledger'!$B$2:$B$200,A9,'Expense Ledger'!$I$2:$I$200)</x:f>
        <x:v>0</x:v>
      </x:c>
      <x:c r="F9" s="17" t="n">
        <x:f>SUMIF('Expense Ledger'!$B$2:$B$200,A9,'Expense Ledger'!$J$2:$J$200)</x:f>
        <x:v>0</x:v>
      </x:c>
      <x:c r="G9" s="17" t="n">
        <x:f>B9-D9-E9</x:f>
        <x:v>0</x:v>
      </x:c>
      <x:c r="H9" s="11" t="str">
        <x:f>IF(AND(B9=0,E9=0),"",IF(COUNTIF('Sales Ledger'!$B$2:$B$200,A9)=COUNTIFS('Sales Ledger'!$B$2:$B$200,A9,'Sales Ledger'!$Q$2:$Q$200,"PAID"),"매출 증빙 확인","미수/증빙 확인"))</x:f>
      </x:c>
    </x:row>
    <x:row r="10">
      <x:c r="A10" s="11" t="str">
        <x:v>2026-09</x:v>
      </x:c>
      <x:c r="B10" s="17" t="n">
        <x:f>SUMIF('Sales Ledger'!$B$2:$B$200,A10,'Sales Ledger'!$J$2:$J$200)</x:f>
        <x:v>0</x:v>
      </x:c>
      <x:c r="C10" s="17" t="n">
        <x:f>SUMIF('Sales Ledger'!$B$2:$B$200,A10,'Sales Ledger'!$L$2:$L$200)</x:f>
        <x:v>0</x:v>
      </x:c>
      <x:c r="D10" s="17" t="n">
        <x:f>SUMIF('Sales Ledger'!$B$2:$B$200,A10,'Sales Ledger'!$S$2:$S$200)</x:f>
        <x:v>0</x:v>
      </x:c>
      <x:c r="E10" s="17" t="n">
        <x:f>SUMIF('Expense Ledger'!$B$2:$B$200,A10,'Expense Ledger'!$I$2:$I$200)</x:f>
        <x:v>0</x:v>
      </x:c>
      <x:c r="F10" s="17" t="n">
        <x:f>SUMIF('Expense Ledger'!$B$2:$B$200,A10,'Expense Ledger'!$J$2:$J$200)</x:f>
        <x:v>0</x:v>
      </x:c>
      <x:c r="G10" s="17" t="n">
        <x:f>B10-D10-E10</x:f>
        <x:v>0</x:v>
      </x:c>
      <x:c r="H10" s="11" t="str">
        <x:f>IF(AND(B10=0,E10=0),"",IF(COUNTIF('Sales Ledger'!$B$2:$B$200,A10)=COUNTIFS('Sales Ledger'!$B$2:$B$200,A10,'Sales Ledger'!$Q$2:$Q$200,"PAID"),"매출 증빙 확인","미수/증빙 확인"))</x:f>
      </x:c>
    </x:row>
    <x:row r="11">
      <x:c r="A11" s="11" t="str">
        <x:v>2026-10</x:v>
      </x:c>
      <x:c r="B11" s="17" t="n">
        <x:f>SUMIF('Sales Ledger'!$B$2:$B$200,A11,'Sales Ledger'!$J$2:$J$200)</x:f>
        <x:v>0</x:v>
      </x:c>
      <x:c r="C11" s="17" t="n">
        <x:f>SUMIF('Sales Ledger'!$B$2:$B$200,A11,'Sales Ledger'!$L$2:$L$200)</x:f>
        <x:v>0</x:v>
      </x:c>
      <x:c r="D11" s="17" t="n">
        <x:f>SUMIF('Sales Ledger'!$B$2:$B$200,A11,'Sales Ledger'!$S$2:$S$200)</x:f>
        <x:v>0</x:v>
      </x:c>
      <x:c r="E11" s="17" t="n">
        <x:f>SUMIF('Expense Ledger'!$B$2:$B$200,A11,'Expense Ledger'!$I$2:$I$200)</x:f>
        <x:v>0</x:v>
      </x:c>
      <x:c r="F11" s="17" t="n">
        <x:f>SUMIF('Expense Ledger'!$B$2:$B$200,A11,'Expense Ledger'!$J$2:$J$200)</x:f>
        <x:v>0</x:v>
      </x:c>
      <x:c r="G11" s="17" t="n">
        <x:f>B11-D11-E11</x:f>
        <x:v>0</x:v>
      </x:c>
      <x:c r="H11" s="11" t="str">
        <x:f>IF(AND(B11=0,E11=0),"",IF(COUNTIF('Sales Ledger'!$B$2:$B$200,A11)=COUNTIFS('Sales Ledger'!$B$2:$B$200,A11,'Sales Ledger'!$Q$2:$Q$200,"PAID"),"매출 증빙 확인","미수/증빙 확인"))</x:f>
      </x:c>
    </x:row>
    <x:row r="12">
      <x:c r="A12" s="11" t="str">
        <x:v>2026-11</x:v>
      </x:c>
      <x:c r="B12" s="17" t="n">
        <x:f>SUMIF('Sales Ledger'!$B$2:$B$200,A12,'Sales Ledger'!$J$2:$J$200)</x:f>
        <x:v>0</x:v>
      </x:c>
      <x:c r="C12" s="17" t="n">
        <x:f>SUMIF('Sales Ledger'!$B$2:$B$200,A12,'Sales Ledger'!$L$2:$L$200)</x:f>
        <x:v>0</x:v>
      </x:c>
      <x:c r="D12" s="17" t="n">
        <x:f>SUMIF('Sales Ledger'!$B$2:$B$200,A12,'Sales Ledger'!$S$2:$S$200)</x:f>
        <x:v>0</x:v>
      </x:c>
      <x:c r="E12" s="17" t="n">
        <x:f>SUMIF('Expense Ledger'!$B$2:$B$200,A12,'Expense Ledger'!$I$2:$I$200)</x:f>
        <x:v>0</x:v>
      </x:c>
      <x:c r="F12" s="17" t="n">
        <x:f>SUMIF('Expense Ledger'!$B$2:$B$200,A12,'Expense Ledger'!$J$2:$J$200)</x:f>
        <x:v>0</x:v>
      </x:c>
      <x:c r="G12" s="17" t="n">
        <x:f>B12-D12-E12</x:f>
        <x:v>0</x:v>
      </x:c>
      <x:c r="H12" s="11" t="str">
        <x:f>IF(AND(B12=0,E12=0),"",IF(COUNTIF('Sales Ledger'!$B$2:$B$200,A12)=COUNTIFS('Sales Ledger'!$B$2:$B$200,A12,'Sales Ledger'!$Q$2:$Q$200,"PAID"),"매출 증빙 확인","미수/증빙 확인"))</x:f>
      </x:c>
    </x:row>
    <x:row r="13">
      <x:c r="A13" s="11" t="str">
        <x:v>2026-12</x:v>
      </x:c>
      <x:c r="B13" s="17" t="n">
        <x:f>SUMIF('Sales Ledger'!$B$2:$B$200,A13,'Sales Ledger'!$J$2:$J$200)</x:f>
        <x:v>0</x:v>
      </x:c>
      <x:c r="C13" s="17" t="n">
        <x:f>SUMIF('Sales Ledger'!$B$2:$B$200,A13,'Sales Ledger'!$L$2:$L$200)</x:f>
        <x:v>0</x:v>
      </x:c>
      <x:c r="D13" s="17" t="n">
        <x:f>SUMIF('Sales Ledger'!$B$2:$B$200,A13,'Sales Ledger'!$S$2:$S$200)</x:f>
        <x:v>0</x:v>
      </x:c>
      <x:c r="E13" s="17" t="n">
        <x:f>SUMIF('Expense Ledger'!$B$2:$B$200,A13,'Expense Ledger'!$I$2:$I$200)</x:f>
        <x:v>0</x:v>
      </x:c>
      <x:c r="F13" s="17" t="n">
        <x:f>SUMIF('Expense Ledger'!$B$2:$B$200,A13,'Expense Ledger'!$J$2:$J$200)</x:f>
        <x:v>0</x:v>
      </x:c>
      <x:c r="G13" s="17" t="n">
        <x:f>B13-D13-E13</x:f>
        <x:v>0</x:v>
      </x:c>
      <x:c r="H13" s="11" t="str">
        <x:f>IF(AND(B13=0,E13=0),"",IF(COUNTIF('Sales Ledger'!$B$2:$B$200,A13)=COUNTIFS('Sales Ledger'!$B$2:$B$200,A13,'Sales Ledger'!$Q$2:$Q$200,"PAID"),"매출 증빙 확인","미수/증빙 확인"))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6" hidden="0" customWidth="1"/>
    <x:col min="4" max="4" width="14" hidden="0" customWidth="1"/>
    <x:col min="5" max="5" width="12" hidden="0" customWidth="1"/>
    <x:col min="6" max="6" width="32" hidden="0" customWidth="1"/>
  </x:cols>
  <x:sheetData>
    <x:row r="1">
      <x:c r="A1" s="22" t="str">
        <x:v>월간 세무·증빙 체크리스트</x:v>
      </x:c>
      <x:c r="B1" s="22"/>
      <x:c r="C1" s="22"/>
      <x:c r="D1" s="22"/>
      <x:c r="E1" s="22"/>
      <x:c r="F1" s="22"/>
    </x:row>
    <x:row r="3">
      <x:c r="A3" s="10" t="str">
        <x:v>월</x:v>
      </x:c>
      <x:c r="B3" s="10" t="str">
        <x:v>항목</x:v>
      </x:c>
      <x:c r="C3" s="10" t="str">
        <x:v>담당</x:v>
      </x:c>
      <x:c r="D3" s="10" t="str">
        <x:v>완료일</x:v>
      </x:c>
      <x:c r="E3" s="10" t="str">
        <x:v>상태</x:v>
      </x:c>
      <x:c r="F3" s="10" t="str">
        <x:v>증빙 위치/비고</x:v>
      </x:c>
    </x:row>
    <x:row r="4">
      <x:c r="A4" s="11" t="str">
        <x:v>{{ YYYY-MM }}</x:v>
      </x:c>
      <x:c r="B4" s="11" t="str">
        <x:v>B2B 견적·계약서 수집</x:v>
      </x:c>
      <x:c r="C4" s="11" t="str">
        <x:v>대표</x:v>
      </x:c>
      <x:c r="D4" s="15" t="str"/>
      <x:c r="E4" s="11" t="str">
        <x:v>미완료</x:v>
      </x:c>
      <x:c r="F4" s="11" t="str"/>
    </x:row>
    <x:row r="5">
      <x:c r="A5" s="11" t="str">
        <x:v>{{ YYYY-MM }}</x:v>
      </x:c>
      <x:c r="B5" s="11" t="str">
        <x:v>전자세금계산서·청구서 발행 여부 확인</x:v>
      </x:c>
      <x:c r="C5" s="11" t="str">
        <x:v>대표/세무</x:v>
      </x:c>
      <x:c r="D5" s="15" t="str"/>
      <x:c r="E5" s="11" t="str">
        <x:v>미완료</x:v>
      </x:c>
      <x:c r="F5" s="11" t="str"/>
    </x:row>
    <x:row r="6">
      <x:c r="A6" s="11" t="str">
        <x:v>{{ YYYY-MM }}</x:v>
      </x:c>
      <x:c r="B6" s="11" t="str">
        <x:v>PG·플랫폼 월 정산명세 다운로드</x:v>
      </x:c>
      <x:c r="C6" s="11" t="str">
        <x:v>대표</x:v>
      </x:c>
      <x:c r="D6" s="15" t="str"/>
      <x:c r="E6" s="11" t="str">
        <x:v>미완료</x:v>
      </x:c>
      <x:c r="F6" s="11" t="str"/>
    </x:row>
    <x:row r="7">
      <x:c r="A7" s="11" t="str">
        <x:v>{{ YYYY-MM }}</x:v>
      </x:c>
      <x:c r="B7" s="11" t="str">
        <x:v>PDF/영상 환불·취소 내역 반영</x:v>
      </x:c>
      <x:c r="C7" s="11" t="str">
        <x:v>대표</x:v>
      </x:c>
      <x:c r="D7" s="15" t="str"/>
      <x:c r="E7" s="11" t="str">
        <x:v>미완료</x:v>
      </x:c>
      <x:c r="F7" s="11" t="str"/>
    </x:row>
    <x:row r="8">
      <x:c r="A8" s="11" t="str">
        <x:v>{{ YYYY-MM }}</x:v>
      </x:c>
      <x:c r="B8" s="11" t="str">
        <x:v>해외 고객 인보이스·입금·환전 증빙 보관</x:v>
      </x:c>
      <x:c r="C8" s="11" t="str">
        <x:v>대표/세무</x:v>
      </x:c>
      <x:c r="D8" s="15" t="str"/>
      <x:c r="E8" s="11" t="str">
        <x:v>미완료</x:v>
      </x:c>
      <x:c r="F8" s="11" t="str"/>
    </x:row>
    <x:row r="9">
      <x:c r="A9" s="11" t="str">
        <x:v>{{ YYYY-MM }}</x:v>
      </x:c>
      <x:c r="B9" s="11" t="str">
        <x:v>사업용 카드·계좌 지출 증빙 반영</x:v>
      </x:c>
      <x:c r="C9" s="11" t="str">
        <x:v>대표</x:v>
      </x:c>
      <x:c r="D9" s="15" t="str"/>
      <x:c r="E9" s="11" t="str">
        <x:v>미완료</x:v>
      </x:c>
      <x:c r="F9" s="11" t="str"/>
    </x:row>
    <x:row r="10">
      <x:c r="A10" s="11" t="str">
        <x:v>{{ YYYY-MM }}</x:v>
      </x:c>
      <x:c r="B10" s="11" t="str">
        <x:v>Sales/Expense Ledger 마감</x:v>
      </x:c>
      <x:c r="C10" s="11" t="str">
        <x:v>대표</x:v>
      </x:c>
      <x:c r="D10" s="15" t="str"/>
      <x:c r="E10" s="11" t="str">
        <x:v>미완료</x:v>
      </x:c>
      <x:c r="F10" s="11" t="str"/>
    </x:row>
    <x:row r="11">
      <x:c r="A11" s="11" t="str">
        <x:v>{{ YYYY-MM }}</x:v>
      </x:c>
      <x:c r="B11" s="11" t="str">
        <x:v>세무대리인 전달 자료 패키지 생성</x:v>
      </x:c>
      <x:c r="C11" s="11" t="str">
        <x:v>대표</x:v>
      </x:c>
      <x:c r="D11" s="15" t="str"/>
      <x:c r="E11" s="11" t="str">
        <x:v>미완료</x:v>
      </x:c>
      <x:c r="F11" s="11" t="str"/>
    </x:row>
    <x:row r="12">
      <x:c r="D12" s="53"/>
    </x:row>
    <x:row r="13">
      <x:c r="D13" s="53"/>
    </x:row>
    <x:row r="14">
      <x:c r="D14" s="53"/>
    </x:row>
    <x:row r="15">
      <x:c r="D15" s="53"/>
    </x:row>
    <x:row r="16">
      <x:c r="D16" s="53"/>
    </x:row>
    <x:row r="17">
      <x:c r="D17" s="53"/>
    </x:row>
    <x:row r="18">
      <x:c r="D18" s="53"/>
    </x:row>
    <x:row r="19">
      <x:c r="D19" s="53"/>
    </x:row>
    <x:row r="20">
      <x:c r="D20" s="53"/>
    </x:row>
    <x:row r="21">
      <x:c r="D21" s="53"/>
    </x:row>
    <x:row r="22">
      <x:c r="D22" s="53"/>
    </x:row>
    <x:row r="23">
      <x:c r="D23" s="53"/>
    </x:row>
    <x:row r="24">
      <x:c r="D24" s="53"/>
    </x:row>
    <x:row r="25">
      <x:c r="D25" s="53"/>
    </x:row>
    <x:row r="26">
      <x:c r="D26" s="53"/>
    </x:row>
    <x:row r="27">
      <x:c r="D27" s="53"/>
    </x:row>
    <x:row r="28">
      <x:c r="D28" s="53"/>
    </x:row>
    <x:row r="29">
      <x:c r="D29" s="53"/>
    </x:row>
    <x:row r="30">
      <x:c r="D30" s="53"/>
    </x:row>
    <x:row r="31">
      <x:c r="D31" s="53"/>
    </x:row>
    <x:row r="32">
      <x:c r="D32" s="53"/>
    </x:row>
    <x:row r="33">
      <x:c r="D33" s="53"/>
    </x:row>
    <x:row r="34">
      <x:c r="D34" s="53"/>
    </x:row>
    <x:row r="35">
      <x:c r="D35" s="53"/>
    </x:row>
    <x:row r="36">
      <x:c r="D36" s="53"/>
    </x:row>
    <x:row r="37">
      <x:c r="D37" s="53"/>
    </x:row>
    <x:row r="38">
      <x:c r="D38" s="53"/>
    </x:row>
    <x:row r="39">
      <x:c r="D39" s="53"/>
    </x:row>
    <x:row r="40">
      <x:c r="D40" s="53"/>
    </x:row>
    <x:row r="41">
      <x:c r="D41" s="53"/>
    </x:row>
    <x:row r="42">
      <x:c r="D42" s="53"/>
    </x:row>
    <x:row r="43">
      <x:c r="D43" s="53"/>
    </x:row>
    <x:row r="44">
      <x:c r="D44" s="53"/>
    </x:row>
    <x:row r="45">
      <x:c r="D45" s="53"/>
    </x:row>
    <x:row r="46">
      <x:c r="D46" s="53"/>
    </x:row>
    <x:row r="47">
      <x:c r="D47" s="53"/>
    </x:row>
    <x:row r="48">
      <x:c r="D48" s="53"/>
    </x:row>
    <x:row r="49">
      <x:c r="D49" s="53"/>
    </x:row>
    <x:row r="50">
      <x:c r="D50" s="53"/>
    </x:row>
    <x:row r="51">
      <x:c r="D51" s="53"/>
    </x:row>
    <x:row r="52">
      <x:c r="D52" s="53"/>
    </x:row>
    <x:row r="53">
      <x:c r="D53" s="53"/>
    </x:row>
    <x:row r="54">
      <x:c r="D54" s="53"/>
    </x:row>
    <x:row r="55">
      <x:c r="D55" s="53"/>
    </x:row>
    <x:row r="56">
      <x:c r="D56" s="53"/>
    </x:row>
    <x:row r="57">
      <x:c r="D57" s="53"/>
    </x:row>
    <x:row r="58">
      <x:c r="D58" s="53"/>
    </x:row>
    <x:row r="59">
      <x:c r="D59" s="53"/>
    </x:row>
    <x:row r="60">
      <x:c r="D60" s="53"/>
    </x:row>
    <x:row r="61">
      <x:c r="D61" s="53"/>
    </x:row>
    <x:row r="62">
      <x:c r="D62" s="53"/>
    </x:row>
    <x:row r="63">
      <x:c r="D63" s="53"/>
    </x:row>
    <x:row r="64">
      <x:c r="D64" s="53"/>
    </x:row>
    <x:row r="65">
      <x:c r="D65" s="53"/>
    </x:row>
    <x:row r="66">
      <x:c r="D66" s="53"/>
    </x:row>
    <x:row r="67">
      <x:c r="D67" s="53"/>
    </x:row>
    <x:row r="68">
      <x:c r="D68" s="53"/>
    </x:row>
    <x:row r="69">
      <x:c r="D69" s="53"/>
    </x:row>
    <x:row r="70">
      <x:c r="D70" s="53"/>
    </x:row>
    <x:row r="71">
      <x:c r="D71" s="53"/>
    </x:row>
    <x:row r="72">
      <x:c r="D72" s="53"/>
    </x:row>
    <x:row r="73">
      <x:c r="D73" s="53"/>
    </x:row>
    <x:row r="74">
      <x:c r="D74" s="53"/>
    </x:row>
    <x:row r="75">
      <x:c r="D75" s="53"/>
    </x:row>
    <x:row r="76">
      <x:c r="D76" s="53"/>
    </x:row>
    <x:row r="77">
      <x:c r="D77" s="53"/>
    </x:row>
    <x:row r="78">
      <x:c r="D78" s="53"/>
    </x:row>
    <x:row r="79">
      <x:c r="D79" s="53"/>
    </x:row>
    <x:row r="80">
      <x:c r="D80" s="53"/>
    </x:row>
    <x:row r="81">
      <x:c r="D81" s="53"/>
    </x:row>
    <x:row r="82">
      <x:c r="D82" s="53"/>
    </x:row>
    <x:row r="83">
      <x:c r="D83" s="53"/>
    </x:row>
    <x:row r="84">
      <x:c r="D84" s="53"/>
    </x:row>
    <x:row r="85">
      <x:c r="D85" s="53"/>
    </x:row>
    <x:row r="86">
      <x:c r="D86" s="53"/>
    </x:row>
    <x:row r="87">
      <x:c r="D87" s="53"/>
    </x:row>
    <x:row r="88">
      <x:c r="D88" s="53"/>
    </x:row>
    <x:row r="89">
      <x:c r="D89" s="53"/>
    </x:row>
    <x:row r="90">
      <x:c r="D90" s="53"/>
    </x:row>
    <x:row r="91">
      <x:c r="D91" s="53"/>
    </x:row>
    <x:row r="92">
      <x:c r="D92" s="53"/>
    </x:row>
    <x:row r="93">
      <x:c r="D93" s="53"/>
    </x:row>
    <x:row r="94">
      <x:c r="D94" s="53"/>
    </x:row>
    <x:row r="95">
      <x:c r="D95" s="53"/>
    </x:row>
    <x:row r="96">
      <x:c r="D96" s="53"/>
    </x:row>
    <x:row r="97">
      <x:c r="D97" s="53"/>
    </x:row>
    <x:row r="98">
      <x:c r="D98" s="53"/>
    </x:row>
    <x:row r="99">
      <x:c r="D99" s="53"/>
    </x:row>
    <x:row r="100">
      <x:c r="D100" s="53"/>
    </x:row>
  </x:sheetData>
  <x:mergeCells>
    <x:mergeCell ref="A1:F1"/>
  </x:mergeCells>
  <x:conditionalFormatting sqref="E4:E100">
    <x:cfRule type="expression" dxfId="0" priority="1">
      <x:formula>E4="완료"</x:formula>
    </x:cfRule>
    <x:cfRule type="expression" dxfId="1" priority="2">
      <x:formula>E4="미완료"</x:formula>
    </x:cfRule>
  </x:conditionalFormatting>
  <x:dataValidations count="1">
    <x:dataValidation type="list" sqref="E4:E100">
      <x:formula1>"미완료,진행중,완료,보류"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34" hidden="0" customWidth="1"/>
    <x:col min="4" max="4" width="20" hidden="0" customWidth="1"/>
  </x:cols>
  <x:sheetData>
    <x:row r="1">
      <x:c r="A1" s="10" t="str">
        <x:v>구분</x:v>
      </x:c>
      <x:c r="B1" s="10" t="str">
        <x:v>코드</x:v>
      </x:c>
      <x:c r="C1" s="10" t="str">
        <x:v>설명</x:v>
      </x:c>
      <x:c r="D1" s="10" t="str">
        <x:v>비고</x:v>
      </x:c>
    </x:row>
    <x:row r="2">
      <x:c r="A2" s="11" t="str">
        <x:v>매출유형</x:v>
      </x:c>
      <x:c r="B2" s="11" t="str">
        <x:v>B2B_SERVICE</x:v>
      </x:c>
      <x:c r="C2" s="11" t="str">
        <x:v>기술진단·공동개발·기술고문·교육</x:v>
      </x:c>
      <x:c r="D2" s="11" t="str">
        <x:v>견적·계약·청구서</x:v>
      </x:c>
    </x:row>
    <x:row r="3">
      <x:c r="A3" s="11" t="str">
        <x:v>매출유형</x:v>
      </x:c>
      <x:c r="B3" s="11" t="str">
        <x:v>DIGITAL_PDF</x:v>
      </x:c>
      <x:c r="C3" s="11" t="str">
        <x:v>PDF 단권 판매</x:v>
      </x:c>
      <x:c r="D3" s="11" t="str">
        <x:v>다운로드형</x:v>
      </x:c>
    </x:row>
    <x:row r="4">
      <x:c r="A4" s="11" t="str">
        <x:v>매출유형</x:v>
      </x:c>
      <x:c r="B4" s="11" t="str">
        <x:v>PDF_MEMBERSHIP</x:v>
      </x:c>
      <x:c r="C4" s="11" t="str">
        <x:v>문서 라이브러리 구독</x:v>
      </x:c>
      <x:c r="D4" s="11" t="str">
        <x:v>열람권</x:v>
      </x:c>
    </x:row>
    <x:row r="5">
      <x:c r="A5" s="11" t="str">
        <x:v>매출유형</x:v>
      </x:c>
      <x:c r="B5" s="11" t="str">
        <x:v>VIDEO_COURSE</x:v>
      </x:c>
      <x:c r="C5" s="11" t="str">
        <x:v>교육 영상 단과</x:v>
      </x:c>
      <x:c r="D5" s="11" t="str">
        <x:v>수강권</x:v>
      </x:c>
    </x:row>
    <x:row r="6">
      <x:c r="A6" s="11" t="str">
        <x:v>매출유형</x:v>
      </x:c>
      <x:c r="B6" s="11" t="str">
        <x:v>VIDEO_MEMBERSHIP</x:v>
      </x:c>
      <x:c r="C6" s="11" t="str">
        <x:v>영상·문서 멤버십</x:v>
      </x:c>
      <x:c r="D6" s="11" t="str">
        <x:v>자동갱신</x:v>
      </x:c>
    </x:row>
    <x:row r="7">
      <x:c r="A7" s="11" t="str">
        <x:v>세금상태</x:v>
      </x:c>
      <x:c r="B7" s="11" t="str">
        <x:v>VAT_APPLICABLE</x:v>
      </x:c>
      <x:c r="C7" s="11" t="str">
        <x:v>국내 부가세 과세 여부 확인 필요</x:v>
      </x:c>
      <x:c r="D7" s="11" t="str">
        <x:v>세무전문가 확인</x:v>
      </x:c>
    </x:row>
    <x:row r="8">
      <x:c r="A8" s="11" t="str">
        <x:v>세금상태</x:v>
      </x:c>
      <x:c r="B8" s="11" t="str">
        <x:v>OVERSEAS_REVIEW</x:v>
      </x:c>
      <x:c r="C8" s="11" t="str">
        <x:v>해외 고객·플랫폼 매출</x:v>
      </x:c>
      <x:c r="D8" s="11" t="str">
        <x:v>증빙·세무처리 확인</x:v>
      </x:c>
    </x:row>
    <x:row r="9">
      <x:c r="A9" s="11" t="str">
        <x:v>증빙</x:v>
      </x:c>
      <x:c r="B9" s="11" t="str">
        <x:v>TAX_INVOICE</x:v>
      </x:c>
      <x:c r="C9" s="11" t="str">
        <x:v>세금계산서</x:v>
      </x:c>
      <x:c r="D9" s="11" t="str">
        <x:v>국내 B2B</x:v>
      </x:c>
    </x:row>
    <x:row r="10">
      <x:c r="A10" s="11" t="str">
        <x:v>증빙</x:v>
      </x:c>
      <x:c r="B10" s="11" t="str">
        <x:v>PG_SETTLEMENT</x:v>
      </x:c>
      <x:c r="C10" s="11" t="str">
        <x:v>PG/플랫폼 정산명세</x:v>
      </x:c>
      <x:c r="D10" s="11" t="str">
        <x:v>B2C 디지털</x:v>
      </x:c>
    </x:row>
    <x:row r="11">
      <x:c r="A11" s="11" t="str">
        <x:v>증빙</x:v>
      </x:c>
      <x:c r="B11" s="11" t="str">
        <x:v>FOREIGN_INVOICE</x:v>
      </x:c>
      <x:c r="C11" s="11" t="str">
        <x:v>해외 인보이스</x:v>
      </x:c>
      <x:c r="D11" s="11" t="str">
        <x:v>해외 B2B</x:v>
      </x:c>
    </x:row>
    <x:row r="12">
      <x:c r="A12" s="11" t="str">
        <x:v>지급상태</x:v>
      </x:c>
      <x:c r="B12" s="11" t="str">
        <x:v>PENDING</x:v>
      </x:c>
      <x:c r="C12" s="11" t="str">
        <x:v>미수</x:v>
      </x:c>
      <x:c r="D12" s="11" t="str"/>
    </x:row>
    <x:row r="13">
      <x:c r="A13" s="11" t="str">
        <x:v>지급상태</x:v>
      </x:c>
      <x:c r="B13" s="11" t="str">
        <x:v>PAID</x:v>
      </x:c>
      <x:c r="C13" s="11" t="str">
        <x:v>입금완료</x:v>
      </x:c>
      <x:c r="D13" s="11" t="str"/>
    </x:row>
  </x:sheetData>
  <x:pageMargins left="0.7" right="0.7" top="0.75" bottom="0.75" header="0.3" footer="0.3"/>
</x:worksheet>
</file>